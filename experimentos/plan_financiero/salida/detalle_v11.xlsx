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lance momento 0" sheetId="1" state="visible" r:id="rId1"/>
    <sheet xmlns:r="http://schemas.openxmlformats.org/officeDocument/2006/relationships" name="Balance año 1" sheetId="2" state="visible" r:id="rId2"/>
    <sheet xmlns:r="http://schemas.openxmlformats.org/officeDocument/2006/relationships" name="Balance año 2" sheetId="3" state="visible" r:id="rId3"/>
    <sheet xmlns:r="http://schemas.openxmlformats.org/officeDocument/2006/relationships" name="Balance año 3" sheetId="4" state="visible" r:id="rId4"/>
    <sheet xmlns:r="http://schemas.openxmlformats.org/officeDocument/2006/relationships" name="Resultados agregada" sheetId="5" state="visible" r:id="rId5"/>
    <sheet xmlns:r="http://schemas.openxmlformats.org/officeDocument/2006/relationships" name="Resultados año 1" sheetId="6" state="visible" r:id="rId6"/>
    <sheet xmlns:r="http://schemas.openxmlformats.org/officeDocument/2006/relationships" name="Resultados año 2" sheetId="7" state="visible" r:id="rId7"/>
    <sheet xmlns:r="http://schemas.openxmlformats.org/officeDocument/2006/relationships" name="Resultados año 3" sheetId="8" state="visible" r:id="rId8"/>
    <sheet xmlns:r="http://schemas.openxmlformats.org/officeDocument/2006/relationships" name="Tesorería año 1" sheetId="9" state="visible" r:id="rId9"/>
    <sheet xmlns:r="http://schemas.openxmlformats.org/officeDocument/2006/relationships" name="Tesorería año 2" sheetId="10" state="visible" r:id="rId10"/>
    <sheet xmlns:r="http://schemas.openxmlformats.org/officeDocument/2006/relationships" name="Tesorería año 3" sheetId="11" state="visible" r:id="rId11"/>
    <sheet xmlns:r="http://schemas.openxmlformats.org/officeDocument/2006/relationships" name="Mensual" sheetId="12" state="visible" r:id="rId12"/>
    <sheet xmlns:r="http://schemas.openxmlformats.org/officeDocument/2006/relationships" name="Balances" sheetId="13" state="visible" r:id="rId13"/>
    <sheet xmlns:r="http://schemas.openxmlformats.org/officeDocument/2006/relationships" name="Supuesto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4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5:K51"/>
  <sheetViews>
    <sheetView workbookViewId="0">
      <selection activeCell="A1" sqref="A1"/>
    </sheetView>
  </sheetViews>
  <sheetFormatPr baseColWidth="8" defaultRowHeight="15"/>
  <cols>
    <col width="40" customWidth="1" min="4" max="4"/>
    <col width="15" customWidth="1" min="6" max="6"/>
    <col width="52" customWidth="1" min="9" max="9"/>
    <col width="15" customWidth="1" min="11" max="11"/>
  </cols>
  <sheetData>
    <row r="5">
      <c r="F5" s="1" t="inlineStr">
        <is>
          <t>GridPredic, S.L.</t>
        </is>
      </c>
    </row>
    <row r="7">
      <c r="F7" s="1" t="inlineStr">
        <is>
          <t>BALANCE GENERAL AL INICIO</t>
        </is>
      </c>
    </row>
    <row r="11">
      <c r="B11" s="1" t="inlineStr">
        <is>
          <t>ACTIVO</t>
        </is>
      </c>
      <c r="H11" s="1" t="inlineStr">
        <is>
          <t>PASIVO</t>
        </is>
      </c>
    </row>
    <row r="13">
      <c r="B13" s="1" t="inlineStr">
        <is>
          <t>Activo No Corriente</t>
        </is>
      </c>
      <c r="H13" s="1" t="inlineStr">
        <is>
          <t>Fondos propios o patrimonio neto</t>
        </is>
      </c>
    </row>
    <row r="14">
      <c r="I14" t="inlineStr">
        <is>
          <t>Capital social</t>
        </is>
      </c>
      <c r="K14" s="2" t="n">
        <v>3000</v>
      </c>
    </row>
    <row r="15">
      <c r="C15" t="inlineStr">
        <is>
          <t>Inmovilizado inmaterial</t>
        </is>
      </c>
      <c r="I15" t="inlineStr">
        <is>
          <t>Prima de asunción</t>
        </is>
      </c>
      <c r="K15" s="2" t="n">
        <v>37000</v>
      </c>
    </row>
    <row r="16">
      <c r="D16" t="inlineStr">
        <is>
          <t>Marca y aplicaciones informáticas</t>
        </is>
      </c>
      <c r="F16" s="2" t="n">
        <v>5500</v>
      </c>
      <c r="I16" t="inlineStr">
        <is>
          <t>Reservas (gastos de constitución y de la ronda)</t>
        </is>
      </c>
      <c r="K16" s="2" t="n">
        <v>-1500</v>
      </c>
    </row>
    <row r="17">
      <c r="D17" t="inlineStr">
        <is>
          <t xml:space="preserve">  Amortización acumulada</t>
        </is>
      </c>
      <c r="F17" s="2" t="n">
        <v>-0</v>
      </c>
      <c r="I17" t="inlineStr">
        <is>
          <t>Resultados de ejercicios anteriores</t>
        </is>
      </c>
      <c r="K17" s="2" t="n">
        <v>0</v>
      </c>
    </row>
    <row r="18">
      <c r="I18" t="inlineStr">
        <is>
          <t>Resultado del ejercicio</t>
        </is>
      </c>
      <c r="K18" s="2" t="n">
        <v>0</v>
      </c>
    </row>
    <row r="19">
      <c r="H19" s="1" t="inlineStr">
        <is>
          <t>Total Capital contable</t>
        </is>
      </c>
      <c r="K19" s="3">
        <f>SUM(K14:K18)</f>
        <v/>
      </c>
    </row>
    <row r="20">
      <c r="C20" t="inlineStr">
        <is>
          <t>Inmovilizado material</t>
        </is>
      </c>
    </row>
    <row r="21">
      <c r="D21" t="inlineStr">
        <is>
          <t>Mobiliario y equipo informático</t>
        </is>
      </c>
      <c r="F21" s="2" t="n">
        <v>7500</v>
      </c>
    </row>
    <row r="22">
      <c r="D22" t="inlineStr">
        <is>
          <t xml:space="preserve">  Amortización acumulada</t>
        </is>
      </c>
      <c r="F22" s="2" t="n">
        <v>-0</v>
      </c>
    </row>
    <row r="28">
      <c r="H28" s="1" t="inlineStr">
        <is>
          <t>Pasivo No Corriente</t>
        </is>
      </c>
    </row>
    <row r="29">
      <c r="C29" t="inlineStr">
        <is>
          <t>Inmovilizado Financiero</t>
        </is>
      </c>
      <c r="I29" t="inlineStr">
        <is>
          <t>Préstamo participativo de ENISA a largo plazo</t>
        </is>
      </c>
      <c r="K29" s="2" t="n">
        <v>0</v>
      </c>
    </row>
    <row r="30">
      <c r="D30" t="inlineStr">
        <is>
          <t>Fianza del alquiler</t>
        </is>
      </c>
      <c r="F30" s="2" t="n">
        <v>1000</v>
      </c>
      <c r="I30" t="inlineStr">
        <is>
          <t>Préstamo bancario a largo plazo</t>
        </is>
      </c>
      <c r="K30" s="2" t="n">
        <v>20000</v>
      </c>
    </row>
    <row r="31">
      <c r="B31" s="1" t="inlineStr">
        <is>
          <t>Total Activo No Corriente</t>
        </is>
      </c>
      <c r="F31" s="3">
        <f>SUM(F16:F17,F21:F22,F30)</f>
        <v/>
      </c>
      <c r="H31" s="1" t="inlineStr">
        <is>
          <t>Total Pasivo No Corriente</t>
        </is>
      </c>
      <c r="K31" s="3">
        <f>SUM(K29:K30)</f>
        <v/>
      </c>
    </row>
    <row r="33">
      <c r="B33" s="1" t="inlineStr">
        <is>
          <t>Activo Corriente</t>
        </is>
      </c>
      <c r="H33" s="1" t="inlineStr">
        <is>
          <t>Pasivo Corriente</t>
        </is>
      </c>
    </row>
    <row r="34">
      <c r="I34" t="inlineStr">
        <is>
          <t>Anticipos de clientes</t>
        </is>
      </c>
      <c r="K34" s="2" t="n">
        <v>0</v>
      </c>
    </row>
    <row r="35">
      <c r="I35" t="inlineStr">
        <is>
          <t>Periodificación de licencias facturadas</t>
        </is>
      </c>
      <c r="K35" s="2" t="n">
        <v>0</v>
      </c>
    </row>
    <row r="37">
      <c r="I37" t="inlineStr">
        <is>
          <t>Préstamos a corto plazo (con intereses pendientes)</t>
        </is>
      </c>
      <c r="K37" s="2" t="n">
        <v>0</v>
      </c>
    </row>
    <row r="38">
      <c r="C38" t="inlineStr">
        <is>
          <t>Realizable</t>
        </is>
      </c>
      <c r="I38" t="inlineStr">
        <is>
          <t>Hacienda pública acreedora (IVA, IRPF e Imp. Sociedades)</t>
        </is>
      </c>
      <c r="K38" s="2" t="n">
        <v>0</v>
      </c>
    </row>
    <row r="39">
      <c r="D39" t="inlineStr">
        <is>
          <t>Clientes</t>
        </is>
      </c>
      <c r="F39" s="2" t="n">
        <v>0</v>
      </c>
      <c r="I39" t="inlineStr">
        <is>
          <t>Seguridad Social acreedora</t>
        </is>
      </c>
      <c r="K39" s="2" t="n">
        <v>0</v>
      </c>
    </row>
    <row r="42">
      <c r="D42" t="inlineStr">
        <is>
          <t>Hacienda pública deudora (IVA soportado)</t>
        </is>
      </c>
      <c r="F42" s="2" t="n">
        <v>0</v>
      </c>
    </row>
    <row r="43">
      <c r="C43" t="inlineStr">
        <is>
          <t>Tesorería</t>
        </is>
      </c>
    </row>
    <row r="44">
      <c r="D44" t="inlineStr">
        <is>
          <t>Caja y Bancos</t>
        </is>
      </c>
      <c r="F44" s="2" t="n">
        <v>44500</v>
      </c>
    </row>
    <row r="45">
      <c r="B45" s="1" t="inlineStr">
        <is>
          <t>Total Activo Corriente</t>
        </is>
      </c>
      <c r="F45" s="3">
        <f>SUM(F39:F42,F44)</f>
        <v/>
      </c>
      <c r="H45" s="1" t="inlineStr">
        <is>
          <t>Total Pasivo Corriente</t>
        </is>
      </c>
      <c r="K45" s="3">
        <f>SUM(K34:K39)</f>
        <v/>
      </c>
    </row>
    <row r="47">
      <c r="B47" s="1" t="inlineStr">
        <is>
          <t>SUMA DEL ACTIVO</t>
        </is>
      </c>
      <c r="F47" s="3">
        <f>F31+F45</f>
        <v/>
      </c>
      <c r="H47" s="1" t="inlineStr">
        <is>
          <t>SUMA DEL PASIVO</t>
        </is>
      </c>
      <c r="K47" s="3">
        <f>K19+K31+K45</f>
        <v/>
      </c>
    </row>
    <row r="49">
      <c r="H49" t="inlineStr">
        <is>
          <t>Diferencia activo - pasivo (tiene que ser 0)</t>
        </is>
      </c>
      <c r="K49" s="3">
        <f>ROUND(F47-K47,2)</f>
        <v/>
      </c>
    </row>
    <row r="51">
      <c r="A51" t="inlineStr">
        <is>
          <t>Nota: las celdas sombreadas contienen fórmulas. Estructura de la plantilla de balance de Budgeting; la prueba de cuadre de plan_financiero.py comprueba lo mismo en los 37 cierres.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5:K51"/>
  <sheetViews>
    <sheetView workbookViewId="0">
      <selection activeCell="A1" sqref="A1"/>
    </sheetView>
  </sheetViews>
  <sheetFormatPr baseColWidth="8" defaultRowHeight="15"/>
  <cols>
    <col width="40" customWidth="1" min="4" max="4"/>
    <col width="15" customWidth="1" min="6" max="6"/>
    <col width="52" customWidth="1" min="9" max="9"/>
    <col width="15" customWidth="1" min="11" max="11"/>
  </cols>
  <sheetData>
    <row r="5">
      <c r="F5" s="1" t="inlineStr">
        <is>
          <t>GridPredic, S.L.</t>
        </is>
      </c>
    </row>
    <row r="7">
      <c r="F7" s="1" t="inlineStr">
        <is>
          <t>BALANCE GENERAL AL CIERRE DEL AÑO 1 (MES 12)</t>
        </is>
      </c>
    </row>
    <row r="11">
      <c r="B11" s="1" t="inlineStr">
        <is>
          <t>ACTIVO</t>
        </is>
      </c>
      <c r="H11" s="1" t="inlineStr">
        <is>
          <t>PASIVO</t>
        </is>
      </c>
    </row>
    <row r="13">
      <c r="B13" s="1" t="inlineStr">
        <is>
          <t>Activo No Corriente</t>
        </is>
      </c>
      <c r="H13" s="1" t="inlineStr">
        <is>
          <t>Fondos propios o patrimonio neto</t>
        </is>
      </c>
    </row>
    <row r="14">
      <c r="I14" t="inlineStr">
        <is>
          <t>Capital social</t>
        </is>
      </c>
      <c r="K14" s="2" t="n">
        <v>4000</v>
      </c>
    </row>
    <row r="15">
      <c r="C15" t="inlineStr">
        <is>
          <t>Inmovilizado inmaterial</t>
        </is>
      </c>
      <c r="I15" t="inlineStr">
        <is>
          <t>Prima de asunción</t>
        </is>
      </c>
      <c r="K15" s="2" t="n">
        <v>286000</v>
      </c>
    </row>
    <row r="16">
      <c r="D16" t="inlineStr">
        <is>
          <t>Marca y aplicaciones informáticas</t>
        </is>
      </c>
      <c r="F16" s="2" t="n">
        <v>5500</v>
      </c>
      <c r="I16" t="inlineStr">
        <is>
          <t>Reservas (gastos de constitución y de la ronda)</t>
        </is>
      </c>
      <c r="K16" s="2" t="n">
        <v>-4500</v>
      </c>
    </row>
    <row r="17">
      <c r="D17" t="inlineStr">
        <is>
          <t xml:space="preserve">  Amortización acumulada</t>
        </is>
      </c>
      <c r="F17" s="2" t="n">
        <v>-1300</v>
      </c>
      <c r="I17" t="inlineStr">
        <is>
          <t>Resultados de ejercicios anteriores</t>
        </is>
      </c>
      <c r="K17" t="n">
        <v>0</v>
      </c>
    </row>
    <row r="18">
      <c r="I18" t="inlineStr">
        <is>
          <t>Resultado del ejercicio</t>
        </is>
      </c>
      <c r="K18" s="2" t="n">
        <v>-46016.25000000001</v>
      </c>
    </row>
    <row r="19">
      <c r="H19" s="1" t="inlineStr">
        <is>
          <t>Total Capital contable</t>
        </is>
      </c>
      <c r="K19" s="3">
        <f>SUM(K14:K18)</f>
        <v/>
      </c>
    </row>
    <row r="20">
      <c r="C20" t="inlineStr">
        <is>
          <t>Inmovilizado material</t>
        </is>
      </c>
    </row>
    <row r="21">
      <c r="D21" t="inlineStr">
        <is>
          <t>Mobiliario y equipo informático</t>
        </is>
      </c>
      <c r="F21" s="2" t="n">
        <v>7500</v>
      </c>
    </row>
    <row r="22">
      <c r="D22" t="inlineStr">
        <is>
          <t xml:space="preserve">  Amortización acumulada</t>
        </is>
      </c>
      <c r="F22" s="2" t="n">
        <v>-1650</v>
      </c>
    </row>
    <row r="28">
      <c r="H28" s="1" t="inlineStr">
        <is>
          <t>Pasivo No Corriente</t>
        </is>
      </c>
    </row>
    <row r="29">
      <c r="C29" t="inlineStr">
        <is>
          <t>Inmovilizado Financiero</t>
        </is>
      </c>
      <c r="I29" t="inlineStr">
        <is>
          <t>Préstamo participativo de ENISA a largo plazo</t>
        </is>
      </c>
      <c r="K29" s="2" t="n">
        <v>35000</v>
      </c>
    </row>
    <row r="30">
      <c r="D30" t="inlineStr">
        <is>
          <t>Fianza del alquiler</t>
        </is>
      </c>
      <c r="F30" s="2" t="n">
        <v>1000</v>
      </c>
      <c r="I30" t="inlineStr">
        <is>
          <t>Préstamo bancario a largo plazo</t>
        </is>
      </c>
      <c r="K30" s="2" t="n">
        <v>15000</v>
      </c>
    </row>
    <row r="31">
      <c r="B31" s="1" t="inlineStr">
        <is>
          <t>Total Activo No Corriente</t>
        </is>
      </c>
      <c r="F31" s="3">
        <f>SUM(F16:F17,F21:F22,F30)</f>
        <v/>
      </c>
      <c r="H31" s="1" t="inlineStr">
        <is>
          <t>Total Pasivo No Corriente</t>
        </is>
      </c>
      <c r="K31" s="3">
        <f>SUM(K29:K30)</f>
        <v/>
      </c>
    </row>
    <row r="33">
      <c r="B33" s="1" t="inlineStr">
        <is>
          <t>Activo Corriente</t>
        </is>
      </c>
      <c r="H33" s="1" t="inlineStr">
        <is>
          <t>Pasivo Corriente</t>
        </is>
      </c>
    </row>
    <row r="34">
      <c r="I34" t="inlineStr">
        <is>
          <t>Anticipos de clientes</t>
        </is>
      </c>
      <c r="K34" s="2" t="n">
        <v>0</v>
      </c>
    </row>
    <row r="35">
      <c r="I35" t="inlineStr">
        <is>
          <t>Periodificación de licencias facturadas</t>
        </is>
      </c>
      <c r="K35" s="2" t="n">
        <v>29475</v>
      </c>
    </row>
    <row r="37">
      <c r="I37" t="inlineStr">
        <is>
          <t>Préstamos a corto plazo (con intereses pendientes)</t>
        </is>
      </c>
      <c r="K37" s="2" t="n">
        <v>5000</v>
      </c>
    </row>
    <row r="38">
      <c r="C38" t="inlineStr">
        <is>
          <t>Realizable</t>
        </is>
      </c>
      <c r="I38" t="inlineStr">
        <is>
          <t>Hacienda pública acreedora (IVA, IRPF e Imp. Sociedades)</t>
        </is>
      </c>
      <c r="K38" s="2" t="n">
        <v>4050</v>
      </c>
    </row>
    <row r="39">
      <c r="D39" t="inlineStr">
        <is>
          <t>Clientes</t>
        </is>
      </c>
      <c r="F39" s="2" t="n">
        <v>0</v>
      </c>
      <c r="I39" t="inlineStr">
        <is>
          <t>Seguridad Social acreedora</t>
        </is>
      </c>
      <c r="K39" s="2" t="n">
        <v>2737.5</v>
      </c>
    </row>
    <row r="42">
      <c r="D42" t="inlineStr">
        <is>
          <t>Hacienda pública deudora (IVA soportado)</t>
        </is>
      </c>
      <c r="F42" s="2" t="n">
        <v>2594.024999999999</v>
      </c>
    </row>
    <row r="43">
      <c r="C43" t="inlineStr">
        <is>
          <t>Tesorería</t>
        </is>
      </c>
    </row>
    <row r="44">
      <c r="D44" t="inlineStr">
        <is>
          <t>Caja y Bancos</t>
        </is>
      </c>
      <c r="F44" s="2" t="n">
        <v>317102.225</v>
      </c>
    </row>
    <row r="45">
      <c r="B45" s="1" t="inlineStr">
        <is>
          <t>Total Activo Corriente</t>
        </is>
      </c>
      <c r="F45" s="3">
        <f>SUM(F39:F42,F44)</f>
        <v/>
      </c>
      <c r="H45" s="1" t="inlineStr">
        <is>
          <t>Total Pasivo Corriente</t>
        </is>
      </c>
      <c r="K45" s="3">
        <f>SUM(K34:K39)</f>
        <v/>
      </c>
    </row>
    <row r="47">
      <c r="B47" s="1" t="inlineStr">
        <is>
          <t>SUMA DEL ACTIVO</t>
        </is>
      </c>
      <c r="F47" s="3">
        <f>F31+F45</f>
        <v/>
      </c>
      <c r="H47" s="1" t="inlineStr">
        <is>
          <t>SUMA DEL PASIVO</t>
        </is>
      </c>
      <c r="K47" s="3">
        <f>K19+K31+K45</f>
        <v/>
      </c>
    </row>
    <row r="49">
      <c r="H49" t="inlineStr">
        <is>
          <t>Diferencia activo - pasivo (tiene que ser 0)</t>
        </is>
      </c>
      <c r="K49" s="3">
        <f>ROUND(F47-K47,2)</f>
        <v/>
      </c>
    </row>
    <row r="51">
      <c r="A51" t="inlineStr">
        <is>
          <t>Nota: las celdas sombreadas contienen fórmulas. Estructura de la plantilla de balance de Budgeting; la prueba de cuadre de plan_financiero.py comprueba lo mismo en los 37 cierres.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5:K51"/>
  <sheetViews>
    <sheetView workbookViewId="0">
      <selection activeCell="A1" sqref="A1"/>
    </sheetView>
  </sheetViews>
  <sheetFormatPr baseColWidth="8" defaultRowHeight="15"/>
  <cols>
    <col width="40" customWidth="1" min="4" max="4"/>
    <col width="15" customWidth="1" min="6" max="6"/>
    <col width="52" customWidth="1" min="9" max="9"/>
    <col width="15" customWidth="1" min="11" max="11"/>
  </cols>
  <sheetData>
    <row r="5">
      <c r="F5" s="1" t="inlineStr">
        <is>
          <t>GridPredic, S.L.</t>
        </is>
      </c>
    </row>
    <row r="7">
      <c r="F7" s="1" t="inlineStr">
        <is>
          <t>BALANCE GENERAL AL CIERRE DEL AÑO 2 (MES 24)</t>
        </is>
      </c>
    </row>
    <row r="11">
      <c r="B11" s="1" t="inlineStr">
        <is>
          <t>ACTIVO</t>
        </is>
      </c>
      <c r="H11" s="1" t="inlineStr">
        <is>
          <t>PASIVO</t>
        </is>
      </c>
    </row>
    <row r="13">
      <c r="B13" s="1" t="inlineStr">
        <is>
          <t>Activo No Corriente</t>
        </is>
      </c>
      <c r="H13" s="1" t="inlineStr">
        <is>
          <t>Fondos propios o patrimonio neto</t>
        </is>
      </c>
    </row>
    <row r="14">
      <c r="I14" t="inlineStr">
        <is>
          <t>Capital social</t>
        </is>
      </c>
      <c r="K14" s="2" t="n">
        <v>4000</v>
      </c>
    </row>
    <row r="15">
      <c r="C15" t="inlineStr">
        <is>
          <t>Inmovilizado inmaterial</t>
        </is>
      </c>
      <c r="I15" t="inlineStr">
        <is>
          <t>Prima de asunción</t>
        </is>
      </c>
      <c r="K15" s="2" t="n">
        <v>286000</v>
      </c>
    </row>
    <row r="16">
      <c r="D16" t="inlineStr">
        <is>
          <t>Marca y aplicaciones informáticas</t>
        </is>
      </c>
      <c r="F16" s="2" t="n">
        <v>6500</v>
      </c>
      <c r="I16" t="inlineStr">
        <is>
          <t>Reservas (gastos de constitución y de la ronda)</t>
        </is>
      </c>
      <c r="K16" s="2" t="n">
        <v>-4500</v>
      </c>
    </row>
    <row r="17">
      <c r="D17" t="inlineStr">
        <is>
          <t xml:space="preserve">  Amortización acumulada</t>
        </is>
      </c>
      <c r="F17" s="2" t="n">
        <v>-2691.666666666667</v>
      </c>
      <c r="I17" t="inlineStr">
        <is>
          <t>Resultados de ejercicios anteriores</t>
        </is>
      </c>
      <c r="K17" s="2" t="n">
        <v>-46016.25</v>
      </c>
    </row>
    <row r="18">
      <c r="I18" t="inlineStr">
        <is>
          <t>Resultado del ejercicio</t>
        </is>
      </c>
      <c r="K18" s="2" t="n">
        <v>-10624.45833333331</v>
      </c>
    </row>
    <row r="19">
      <c r="H19" s="1" t="inlineStr">
        <is>
          <t>Total Capital contable</t>
        </is>
      </c>
      <c r="K19" s="3">
        <f>SUM(K14:K18)</f>
        <v/>
      </c>
    </row>
    <row r="20">
      <c r="C20" t="inlineStr">
        <is>
          <t>Inmovilizado material</t>
        </is>
      </c>
    </row>
    <row r="21">
      <c r="D21" t="inlineStr">
        <is>
          <t>Mobiliario y equipo informático</t>
        </is>
      </c>
      <c r="F21" s="2" t="n">
        <v>10000</v>
      </c>
    </row>
    <row r="22">
      <c r="D22" t="inlineStr">
        <is>
          <t xml:space="preserve">  Amortización acumulada</t>
        </is>
      </c>
      <c r="F22" s="2" t="n">
        <v>-3850</v>
      </c>
    </row>
    <row r="28">
      <c r="H28" s="1" t="inlineStr">
        <is>
          <t>Pasivo No Corriente</t>
        </is>
      </c>
    </row>
    <row r="29">
      <c r="C29" t="inlineStr">
        <is>
          <t>Inmovilizado Financiero</t>
        </is>
      </c>
      <c r="I29" t="inlineStr">
        <is>
          <t>Préstamo participativo de ENISA a largo plazo</t>
        </is>
      </c>
      <c r="K29" s="2" t="n">
        <v>31500</v>
      </c>
    </row>
    <row r="30">
      <c r="D30" t="inlineStr">
        <is>
          <t>Fianza del alquiler</t>
        </is>
      </c>
      <c r="F30" s="2" t="n">
        <v>1000</v>
      </c>
      <c r="I30" t="inlineStr">
        <is>
          <t>Préstamo bancario a largo plazo</t>
        </is>
      </c>
      <c r="K30" s="2" t="n">
        <v>9999.999999999993</v>
      </c>
    </row>
    <row r="31">
      <c r="B31" s="1" t="inlineStr">
        <is>
          <t>Total Activo No Corriente</t>
        </is>
      </c>
      <c r="F31" s="3">
        <f>SUM(F16:F17,F21:F22,F30)</f>
        <v/>
      </c>
      <c r="H31" s="1" t="inlineStr">
        <is>
          <t>Total Pasivo No Corriente</t>
        </is>
      </c>
      <c r="K31" s="3">
        <f>SUM(K29:K30)</f>
        <v/>
      </c>
    </row>
    <row r="33">
      <c r="B33" s="1" t="inlineStr">
        <is>
          <t>Activo Corriente</t>
        </is>
      </c>
      <c r="H33" s="1" t="inlineStr">
        <is>
          <t>Pasivo Corriente</t>
        </is>
      </c>
    </row>
    <row r="34">
      <c r="I34" t="inlineStr">
        <is>
          <t>Anticipos de clientes</t>
        </is>
      </c>
      <c r="K34" s="2" t="n">
        <v>0</v>
      </c>
    </row>
    <row r="35">
      <c r="I35" t="inlineStr">
        <is>
          <t>Periodificación de licencias facturadas</t>
        </is>
      </c>
      <c r="K35" s="2" t="n">
        <v>75325</v>
      </c>
    </row>
    <row r="37">
      <c r="I37" t="inlineStr">
        <is>
          <t>Préstamos a corto plazo (con intereses pendientes)</t>
        </is>
      </c>
      <c r="K37" s="2" t="n">
        <v>8500</v>
      </c>
    </row>
    <row r="38">
      <c r="C38" t="inlineStr">
        <is>
          <t>Realizable</t>
        </is>
      </c>
      <c r="I38" t="inlineStr">
        <is>
          <t>Hacienda pública acreedora (IVA, IRPF e Imp. Sociedades)</t>
        </is>
      </c>
      <c r="K38" s="2" t="n">
        <v>15723.04875</v>
      </c>
    </row>
    <row r="39">
      <c r="D39" t="inlineStr">
        <is>
          <t>Clientes</t>
        </is>
      </c>
      <c r="F39" s="2" t="n">
        <v>35876.5</v>
      </c>
      <c r="I39" t="inlineStr">
        <is>
          <t>Seguridad Social acreedora</t>
        </is>
      </c>
      <c r="K39" s="2" t="n">
        <v>3650</v>
      </c>
    </row>
    <row r="42">
      <c r="D42" t="inlineStr">
        <is>
          <t>Hacienda pública deudora (IVA soportado)</t>
        </is>
      </c>
      <c r="F42" s="2" t="n">
        <v>0</v>
      </c>
    </row>
    <row r="43">
      <c r="C43" t="inlineStr">
        <is>
          <t>Tesorería</t>
        </is>
      </c>
    </row>
    <row r="44">
      <c r="D44" t="inlineStr">
        <is>
          <t>Caja y Bancos</t>
        </is>
      </c>
      <c r="F44" s="2" t="n">
        <v>326722.5070833333</v>
      </c>
    </row>
    <row r="45">
      <c r="B45" s="1" t="inlineStr">
        <is>
          <t>Total Activo Corriente</t>
        </is>
      </c>
      <c r="F45" s="3">
        <f>SUM(F39:F42,F44)</f>
        <v/>
      </c>
      <c r="H45" s="1" t="inlineStr">
        <is>
          <t>Total Pasivo Corriente</t>
        </is>
      </c>
      <c r="K45" s="3">
        <f>SUM(K34:K39)</f>
        <v/>
      </c>
    </row>
    <row r="47">
      <c r="B47" s="1" t="inlineStr">
        <is>
          <t>SUMA DEL ACTIVO</t>
        </is>
      </c>
      <c r="F47" s="3">
        <f>F31+F45</f>
        <v/>
      </c>
      <c r="H47" s="1" t="inlineStr">
        <is>
          <t>SUMA DEL PASIVO</t>
        </is>
      </c>
      <c r="K47" s="3">
        <f>K19+K31+K45</f>
        <v/>
      </c>
    </row>
    <row r="49">
      <c r="H49" t="inlineStr">
        <is>
          <t>Diferencia activo - pasivo (tiene que ser 0)</t>
        </is>
      </c>
      <c r="K49" s="3">
        <f>ROUND(F47-K47,2)</f>
        <v/>
      </c>
    </row>
    <row r="51">
      <c r="A51" t="inlineStr">
        <is>
          <t>Nota: las celdas sombreadas contienen fórmulas. Estructura de la plantilla de balance de Budgeting; la prueba de cuadre de plan_financiero.py comprueba lo mismo en los 37 cierres.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5:K51"/>
  <sheetViews>
    <sheetView workbookViewId="0">
      <selection activeCell="A1" sqref="A1"/>
    </sheetView>
  </sheetViews>
  <sheetFormatPr baseColWidth="8" defaultRowHeight="15"/>
  <cols>
    <col width="40" customWidth="1" min="4" max="4"/>
    <col width="15" customWidth="1" min="6" max="6"/>
    <col width="52" customWidth="1" min="9" max="9"/>
    <col width="15" customWidth="1" min="11" max="11"/>
  </cols>
  <sheetData>
    <row r="5">
      <c r="F5" s="1" t="inlineStr">
        <is>
          <t>GridPredic, S.L.</t>
        </is>
      </c>
    </row>
    <row r="7">
      <c r="F7" s="1" t="inlineStr">
        <is>
          <t>BALANCE GENERAL AL CIERRE DEL AÑO 3 (MES 36)</t>
        </is>
      </c>
    </row>
    <row r="11">
      <c r="B11" s="1" t="inlineStr">
        <is>
          <t>ACTIVO</t>
        </is>
      </c>
      <c r="H11" s="1" t="inlineStr">
        <is>
          <t>PASIVO</t>
        </is>
      </c>
    </row>
    <row r="13">
      <c r="B13" s="1" t="inlineStr">
        <is>
          <t>Activo No Corriente</t>
        </is>
      </c>
      <c r="H13" s="1" t="inlineStr">
        <is>
          <t>Fondos propios o patrimonio neto</t>
        </is>
      </c>
    </row>
    <row r="14">
      <c r="I14" t="inlineStr">
        <is>
          <t>Capital social</t>
        </is>
      </c>
      <c r="K14" s="2" t="n">
        <v>4000</v>
      </c>
    </row>
    <row r="15">
      <c r="C15" t="inlineStr">
        <is>
          <t>Inmovilizado inmaterial</t>
        </is>
      </c>
      <c r="I15" t="inlineStr">
        <is>
          <t>Prima de asunción</t>
        </is>
      </c>
      <c r="K15" s="2" t="n">
        <v>286000</v>
      </c>
    </row>
    <row r="16">
      <c r="D16" t="inlineStr">
        <is>
          <t>Marca y aplicaciones informáticas</t>
        </is>
      </c>
      <c r="F16" s="2" t="n">
        <v>6500</v>
      </c>
      <c r="I16" t="inlineStr">
        <is>
          <t>Reservas (gastos de constitución y de la ronda)</t>
        </is>
      </c>
      <c r="K16" s="2" t="n">
        <v>-4500</v>
      </c>
    </row>
    <row r="17">
      <c r="D17" t="inlineStr">
        <is>
          <t xml:space="preserve">  Amortización acumulada</t>
        </is>
      </c>
      <c r="F17" s="2" t="n">
        <v>-4091.666666666667</v>
      </c>
      <c r="I17" t="inlineStr">
        <is>
          <t>Resultados de ejercicios anteriores</t>
        </is>
      </c>
      <c r="K17" s="2" t="n">
        <v>-56640.70833333334</v>
      </c>
    </row>
    <row r="18">
      <c r="I18" t="inlineStr">
        <is>
          <t>Resultado del ejercicio</t>
        </is>
      </c>
      <c r="K18" s="2" t="n">
        <v>55550.02083333333</v>
      </c>
    </row>
    <row r="19">
      <c r="H19" s="1" t="inlineStr">
        <is>
          <t>Total Capital contable</t>
        </is>
      </c>
      <c r="K19" s="3">
        <f>SUM(K14:K18)</f>
        <v/>
      </c>
    </row>
    <row r="20">
      <c r="C20" t="inlineStr">
        <is>
          <t>Inmovilizado material</t>
        </is>
      </c>
    </row>
    <row r="21">
      <c r="D21" t="inlineStr">
        <is>
          <t>Mobiliario y equipo informático</t>
        </is>
      </c>
      <c r="F21" s="2" t="n">
        <v>12500</v>
      </c>
    </row>
    <row r="22">
      <c r="D22" t="inlineStr">
        <is>
          <t xml:space="preserve">  Amortización acumulada</t>
        </is>
      </c>
      <c r="F22" s="2" t="n">
        <v>-6600</v>
      </c>
    </row>
    <row r="28">
      <c r="H28" s="1" t="inlineStr">
        <is>
          <t>Pasivo No Corriente</t>
        </is>
      </c>
    </row>
    <row r="29">
      <c r="C29" t="inlineStr">
        <is>
          <t>Inmovilizado Financiero</t>
        </is>
      </c>
      <c r="I29" t="inlineStr">
        <is>
          <t>Préstamo participativo de ENISA a largo plazo</t>
        </is>
      </c>
      <c r="K29" s="2" t="n">
        <v>24500</v>
      </c>
    </row>
    <row r="30">
      <c r="D30" t="inlineStr">
        <is>
          <t>Fianza del alquiler</t>
        </is>
      </c>
      <c r="F30" s="2" t="n">
        <v>1000</v>
      </c>
      <c r="I30" t="inlineStr">
        <is>
          <t>Préstamo bancario a largo plazo</t>
        </is>
      </c>
      <c r="K30" s="2" t="n">
        <v>5000</v>
      </c>
    </row>
    <row r="31">
      <c r="B31" s="1" t="inlineStr">
        <is>
          <t>Total Activo No Corriente</t>
        </is>
      </c>
      <c r="F31" s="3">
        <f>SUM(F16:F17,F21:F22,F30)</f>
        <v/>
      </c>
      <c r="H31" s="1" t="inlineStr">
        <is>
          <t>Total Pasivo No Corriente</t>
        </is>
      </c>
      <c r="K31" s="3">
        <f>SUM(K29:K30)</f>
        <v/>
      </c>
    </row>
    <row r="33">
      <c r="B33" s="1" t="inlineStr">
        <is>
          <t>Activo Corriente</t>
        </is>
      </c>
      <c r="H33" s="1" t="inlineStr">
        <is>
          <t>Pasivo Corriente</t>
        </is>
      </c>
    </row>
    <row r="34">
      <c r="I34" t="inlineStr">
        <is>
          <t>Anticipos de clientes</t>
        </is>
      </c>
      <c r="K34" s="2" t="n">
        <v>0</v>
      </c>
    </row>
    <row r="35">
      <c r="I35" t="inlineStr">
        <is>
          <t>Periodificación de licencias facturadas</t>
        </is>
      </c>
      <c r="K35" s="2" t="n">
        <v>152287.5</v>
      </c>
    </row>
    <row r="37">
      <c r="I37" t="inlineStr">
        <is>
          <t>Préstamos a corto plazo (con intereses pendientes)</t>
        </is>
      </c>
      <c r="K37" s="2" t="n">
        <v>12000</v>
      </c>
    </row>
    <row r="38">
      <c r="C38" t="inlineStr">
        <is>
          <t>Realizable</t>
        </is>
      </c>
      <c r="I38" t="inlineStr">
        <is>
          <t>Hacienda pública acreedora (IVA, IRPF e Imp. Sociedades)</t>
        </is>
      </c>
      <c r="K38" s="2" t="n">
        <v>25814.71125</v>
      </c>
    </row>
    <row r="39">
      <c r="D39" t="inlineStr">
        <is>
          <t>Clientes</t>
        </is>
      </c>
      <c r="F39" s="2" t="n">
        <v>59653</v>
      </c>
      <c r="I39" t="inlineStr">
        <is>
          <t>Seguridad Social acreedora</t>
        </is>
      </c>
      <c r="K39" s="2" t="n">
        <v>4745</v>
      </c>
    </row>
    <row r="42">
      <c r="D42" t="inlineStr">
        <is>
          <t>Hacienda pública deudora (IVA soportado)</t>
        </is>
      </c>
      <c r="F42" s="2" t="n">
        <v>0</v>
      </c>
    </row>
    <row r="43">
      <c r="C43" t="inlineStr">
        <is>
          <t>Tesorería</t>
        </is>
      </c>
    </row>
    <row r="44">
      <c r="D44" t="inlineStr">
        <is>
          <t>Caja y Bancos</t>
        </is>
      </c>
      <c r="F44" s="2" t="n">
        <v>439795.1904166666</v>
      </c>
    </row>
    <row r="45">
      <c r="B45" s="1" t="inlineStr">
        <is>
          <t>Total Activo Corriente</t>
        </is>
      </c>
      <c r="F45" s="3">
        <f>SUM(F39:F42,F44)</f>
        <v/>
      </c>
      <c r="H45" s="1" t="inlineStr">
        <is>
          <t>Total Pasivo Corriente</t>
        </is>
      </c>
      <c r="K45" s="3">
        <f>SUM(K34:K39)</f>
        <v/>
      </c>
    </row>
    <row r="47">
      <c r="B47" s="1" t="inlineStr">
        <is>
          <t>SUMA DEL ACTIVO</t>
        </is>
      </c>
      <c r="F47" s="3">
        <f>F31+F45</f>
        <v/>
      </c>
      <c r="H47" s="1" t="inlineStr">
        <is>
          <t>SUMA DEL PASIVO</t>
        </is>
      </c>
      <c r="K47" s="3">
        <f>K19+K31+K45</f>
        <v/>
      </c>
    </row>
    <row r="49">
      <c r="H49" t="inlineStr">
        <is>
          <t>Diferencia activo - pasivo (tiene que ser 0)</t>
        </is>
      </c>
      <c r="K49" s="3">
        <f>ROUND(F47-K47,2)</f>
        <v/>
      </c>
    </row>
    <row r="51">
      <c r="A51" t="inlineStr">
        <is>
          <t>Nota: las celdas sombreadas contienen fórmulas. Estructura de la plantilla de balance de Budgeting; la prueba de cuadre de plan_financiero.py comprueba lo mismo en los 37 cierres.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4" customWidth="1" min="1" max="1"/>
    <col width="66" customWidth="1" min="2" max="2"/>
    <col width="14" customWidth="1" min="3" max="3"/>
    <col width="14" customWidth="1" min="4" max="4"/>
    <col width="14" customWidth="1" min="5" max="5"/>
  </cols>
  <sheetData>
    <row r="1">
      <c r="C1" s="1" t="inlineStr">
        <is>
          <t>Año 1</t>
        </is>
      </c>
      <c r="D1" s="1" t="inlineStr">
        <is>
          <t>Año 2</t>
        </is>
      </c>
      <c r="E1" s="1" t="inlineStr">
        <is>
          <t>Año 3</t>
        </is>
      </c>
    </row>
    <row r="2">
      <c r="A2" s="1" t="inlineStr">
        <is>
          <t>Ingresos</t>
        </is>
      </c>
    </row>
    <row r="3">
      <c r="B3" t="inlineStr">
        <is>
          <t>Ventas: implantaciones</t>
        </is>
      </c>
      <c r="C3" s="2" t="n">
        <v>60000</v>
      </c>
      <c r="D3" s="2" t="n">
        <v>120000</v>
      </c>
      <c r="E3" s="2" t="n">
        <v>160000</v>
      </c>
    </row>
    <row r="4">
      <c r="B4" t="inlineStr">
        <is>
          <t>Ventas: licencias</t>
        </is>
      </c>
      <c r="C4" s="2" t="n">
        <v>29475</v>
      </c>
      <c r="D4" s="2" t="n">
        <v>111350</v>
      </c>
      <c r="E4" s="2" t="n">
        <v>217787.5</v>
      </c>
    </row>
    <row r="5">
      <c r="A5" t="inlineStr">
        <is>
          <t>Variación de las existencias (±)</t>
        </is>
      </c>
      <c r="C5" s="2" t="n">
        <v>0</v>
      </c>
      <c r="D5" s="2" t="n">
        <v>0</v>
      </c>
      <c r="E5" s="2" t="n">
        <v>0</v>
      </c>
    </row>
    <row r="6">
      <c r="A6" s="1" t="inlineStr">
        <is>
          <t>Costes de las ventas</t>
        </is>
      </c>
    </row>
    <row r="7">
      <c r="B7" t="inlineStr">
        <is>
          <t>Compras</t>
        </is>
      </c>
      <c r="C7" s="2" t="n">
        <v>0</v>
      </c>
      <c r="D7" s="2" t="n">
        <v>0</v>
      </c>
      <c r="E7" s="2" t="n">
        <v>0</v>
      </c>
    </row>
    <row r="8">
      <c r="B8" t="inlineStr">
        <is>
          <t>Otros costes de las ventas</t>
        </is>
      </c>
      <c r="C8" s="2" t="n">
        <v>0</v>
      </c>
      <c r="D8" s="2" t="n">
        <v>0</v>
      </c>
      <c r="E8" s="2" t="n">
        <v>0</v>
      </c>
    </row>
    <row r="10">
      <c r="B10" s="1" t="inlineStr">
        <is>
          <t>Margen (o Utilidad) Bruto {Gross margin}</t>
        </is>
      </c>
      <c r="C10" s="3">
        <f>SUM(C3:C5)-SUM(C7:C8)</f>
        <v/>
      </c>
      <c r="D10" s="3">
        <f>SUM(D3:D5)-SUM(D7:D8)</f>
        <v/>
      </c>
      <c r="E10" s="3">
        <f>SUM(E3:E5)-SUM(E7:E8)</f>
        <v/>
      </c>
    </row>
    <row r="12">
      <c r="A12" s="1" t="inlineStr">
        <is>
          <t>Gastos Operativos</t>
        </is>
      </c>
    </row>
    <row r="13">
      <c r="B13" t="inlineStr">
        <is>
          <t>Gastos comerciales (comisión del socio)</t>
        </is>
      </c>
      <c r="C13" s="2" t="n">
        <v>0</v>
      </c>
      <c r="D13" s="2" t="n">
        <v>11135</v>
      </c>
      <c r="E13" s="2" t="n">
        <v>21778.75</v>
      </c>
    </row>
    <row r="14">
      <c r="B14" t="inlineStr">
        <is>
          <t>Gastos generales (servicios externos, coworking, herramientas...)</t>
        </is>
      </c>
      <c r="C14" s="2" t="n">
        <v>31200</v>
      </c>
      <c r="D14" s="2" t="n">
        <v>56800</v>
      </c>
      <c r="E14" s="2" t="n">
        <v>75600</v>
      </c>
    </row>
    <row r="15">
      <c r="B15" t="inlineStr">
        <is>
          <t>Gastos administrativos (personal: sueldos brutos)</t>
        </is>
      </c>
      <c r="C15" s="2" t="n">
        <v>71250</v>
      </c>
      <c r="D15" s="2" t="n">
        <v>120000</v>
      </c>
      <c r="E15" s="2" t="n">
        <v>156000</v>
      </c>
    </row>
    <row r="16">
      <c r="B16" t="inlineStr">
        <is>
          <t>Impuestos sobre nómina (Seguridad Social de la empresa)</t>
        </is>
      </c>
      <c r="C16" s="2" t="n">
        <v>21375</v>
      </c>
      <c r="D16" s="2" t="n">
        <v>36000</v>
      </c>
      <c r="E16" s="2" t="n">
        <v>46800</v>
      </c>
    </row>
    <row r="17">
      <c r="B17" t="inlineStr">
        <is>
          <t>Otros costes (imprevistos)</t>
        </is>
      </c>
      <c r="C17" s="2" t="n">
        <v>6191.25</v>
      </c>
      <c r="D17" s="2" t="n">
        <v>11196.75</v>
      </c>
      <c r="E17" s="2" t="n">
        <v>15008.9375</v>
      </c>
    </row>
    <row r="19">
      <c r="B19" s="1" t="inlineStr">
        <is>
          <t>{EBITDA} = Beneficio antes de amortizaciones, intereses e impuestos</t>
        </is>
      </c>
      <c r="C19" s="3">
        <f>C10-SUM(C13:C17)</f>
        <v/>
      </c>
      <c r="D19" s="3">
        <f>D10-SUM(D13:D17)</f>
        <v/>
      </c>
      <c r="E19" s="3">
        <f>E10-SUM(E13:E17)</f>
        <v/>
      </c>
    </row>
    <row r="21">
      <c r="B21" t="inlineStr">
        <is>
          <t>Amortizaciones del inmovilizado</t>
        </is>
      </c>
      <c r="C21" s="2" t="n">
        <v>2950</v>
      </c>
      <c r="D21" s="2" t="n">
        <v>3591.666666666667</v>
      </c>
      <c r="E21" s="2" t="n">
        <v>4150</v>
      </c>
    </row>
    <row r="23">
      <c r="B23" s="1" t="inlineStr">
        <is>
          <t>BAII = Beneficio antes de intereses e impuestos {EBIT}</t>
        </is>
      </c>
      <c r="C23" s="3">
        <f>C19-C21</f>
        <v/>
      </c>
      <c r="D23" s="3">
        <f>D19-D21</f>
        <v/>
      </c>
      <c r="E23" s="3">
        <f>E19-E21</f>
        <v/>
      </c>
    </row>
    <row r="25">
      <c r="A25" s="1" t="inlineStr">
        <is>
          <t>Gastos financieros</t>
        </is>
      </c>
    </row>
    <row r="26">
      <c r="B26" t="inlineStr">
        <is>
          <t>Intereses y comisiones de los préstamos</t>
        </is>
      </c>
      <c r="C26" s="2" t="n">
        <v>2525</v>
      </c>
      <c r="D26" s="2" t="n">
        <v>3251.041666666667</v>
      </c>
      <c r="E26" s="2" t="n">
        <v>2899.791666666667</v>
      </c>
    </row>
    <row r="28">
      <c r="B28" s="1" t="inlineStr">
        <is>
          <t>BAI = Beneficios antes de impuestos {EBT}</t>
        </is>
      </c>
      <c r="C28" s="3">
        <f>C23-C26</f>
        <v/>
      </c>
      <c r="D28" s="3">
        <f>D23-D26</f>
        <v/>
      </c>
      <c r="E28" s="3">
        <f>E23-E26</f>
        <v/>
      </c>
    </row>
    <row r="30">
      <c r="B30" t="inlineStr">
        <is>
          <t>Impuesto de sociedades (25 %, con las bases negativas compensadas)</t>
        </is>
      </c>
      <c r="C30" s="2" t="n">
        <v>0</v>
      </c>
      <c r="D30" s="2" t="n">
        <v>0</v>
      </c>
      <c r="E30" s="2" t="n">
        <v>0</v>
      </c>
    </row>
    <row r="32">
      <c r="B32" s="1" t="inlineStr">
        <is>
          <t>BDI = Beneficios después de impuestos {Net profit}</t>
        </is>
      </c>
      <c r="C32" s="3">
        <f>C28-C30</f>
        <v/>
      </c>
      <c r="D32" s="3">
        <f>D28-D30</f>
        <v/>
      </c>
      <c r="E32" s="3">
        <f>E28-E30</f>
        <v/>
      </c>
    </row>
    <row r="35">
      <c r="A35" s="1" t="inlineStr">
        <is>
          <t>Pro Memoria</t>
        </is>
      </c>
    </row>
    <row r="36">
      <c r="B36" s="1" t="inlineStr">
        <is>
          <t>Gross Cash Flow (BAI + amortizaciones)</t>
        </is>
      </c>
      <c r="C36" s="3">
        <f>C28+C21</f>
        <v/>
      </c>
      <c r="D36" s="3">
        <f>D28+D21</f>
        <v/>
      </c>
      <c r="E36" s="3">
        <f>E28+E21</f>
        <v/>
      </c>
    </row>
    <row r="37">
      <c r="B37" s="1" t="inlineStr">
        <is>
          <t>Net Cash Flow (BDI + amortizaciones)</t>
        </is>
      </c>
      <c r="C37" s="3">
        <f>C32+C21</f>
        <v/>
      </c>
      <c r="D37" s="3">
        <f>D32+D21</f>
        <v/>
      </c>
      <c r="E37" s="3">
        <f>E32+E21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selection activeCell="A1" sqref="A1"/>
    </sheetView>
  </sheetViews>
  <sheetFormatPr baseColWidth="8" defaultRowHeight="15"/>
  <cols>
    <col width="4" customWidth="1" min="1" max="1"/>
    <col width="6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C1" s="1" t="inlineStr">
        <is>
          <t>Enero</t>
        </is>
      </c>
      <c r="D1" s="1" t="inlineStr">
        <is>
          <t>Febrero</t>
        </is>
      </c>
      <c r="E1" s="1" t="inlineStr">
        <is>
          <t>Marzo</t>
        </is>
      </c>
      <c r="F1" s="1" t="inlineStr">
        <is>
          <t>Abril</t>
        </is>
      </c>
      <c r="G1" s="1" t="inlineStr">
        <is>
          <t>Mayo</t>
        </is>
      </c>
      <c r="H1" s="1" t="inlineStr">
        <is>
          <t>Junio</t>
        </is>
      </c>
      <c r="I1" s="1" t="inlineStr">
        <is>
          <t>Julio</t>
        </is>
      </c>
      <c r="J1" s="1" t="inlineStr">
        <is>
          <t>Agosto</t>
        </is>
      </c>
      <c r="K1" s="1" t="inlineStr">
        <is>
          <t>Septiembre</t>
        </is>
      </c>
      <c r="L1" s="1" t="inlineStr">
        <is>
          <t>Octubre</t>
        </is>
      </c>
      <c r="M1" s="1" t="inlineStr">
        <is>
          <t>Noviembre</t>
        </is>
      </c>
      <c r="N1" s="1" t="inlineStr">
        <is>
          <t>Diciembre</t>
        </is>
      </c>
      <c r="O1" s="1" t="inlineStr">
        <is>
          <t>Agregado</t>
        </is>
      </c>
    </row>
    <row r="2">
      <c r="A2" s="1" t="inlineStr">
        <is>
          <t>Ingresos</t>
        </is>
      </c>
    </row>
    <row r="3">
      <c r="B3" t="inlineStr">
        <is>
          <t>Ventas: implantaciones</t>
        </is>
      </c>
      <c r="C3" s="2" t="n">
        <v>0</v>
      </c>
      <c r="D3" s="2" t="n">
        <v>0</v>
      </c>
      <c r="E3" s="2" t="n">
        <v>0</v>
      </c>
      <c r="F3" s="2" t="n">
        <v>0</v>
      </c>
      <c r="G3" s="2" t="n">
        <v>20000</v>
      </c>
      <c r="H3" s="2" t="n">
        <v>0</v>
      </c>
      <c r="I3" s="2" t="n">
        <v>20000</v>
      </c>
      <c r="J3" s="2" t="n">
        <v>0</v>
      </c>
      <c r="K3" s="2" t="n">
        <v>20000</v>
      </c>
      <c r="L3" s="2" t="n">
        <v>0</v>
      </c>
      <c r="M3" s="2" t="n">
        <v>0</v>
      </c>
      <c r="N3" s="2" t="n">
        <v>0</v>
      </c>
      <c r="O3" s="3">
        <f>SUM(C3:N3)</f>
        <v/>
      </c>
    </row>
    <row r="4">
      <c r="B4" t="inlineStr">
        <is>
          <t>Ventas: licencias</t>
        </is>
      </c>
      <c r="C4" s="2" t="n">
        <v>0</v>
      </c>
      <c r="D4" s="2" t="n">
        <v>0</v>
      </c>
      <c r="E4" s="2" t="n">
        <v>0</v>
      </c>
      <c r="F4" s="2" t="n">
        <v>0</v>
      </c>
      <c r="G4" s="2" t="n">
        <v>1637.5</v>
      </c>
      <c r="H4" s="2" t="n">
        <v>1637.5</v>
      </c>
      <c r="I4" s="2" t="n">
        <v>3275</v>
      </c>
      <c r="J4" s="2" t="n">
        <v>3275</v>
      </c>
      <c r="K4" s="2" t="n">
        <v>4912.5</v>
      </c>
      <c r="L4" s="2" t="n">
        <v>4912.5</v>
      </c>
      <c r="M4" s="2" t="n">
        <v>4912.5</v>
      </c>
      <c r="N4" s="2" t="n">
        <v>4912.5</v>
      </c>
      <c r="O4" s="3">
        <f>SUM(C4:N4)</f>
        <v/>
      </c>
    </row>
    <row r="5">
      <c r="A5" t="inlineStr">
        <is>
          <t>Variación de las existencias (±)</t>
        </is>
      </c>
      <c r="C5" s="2" t="n">
        <v>0</v>
      </c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3">
        <f>SUM(C5:N5)</f>
        <v/>
      </c>
    </row>
    <row r="6">
      <c r="A6" s="1" t="inlineStr">
        <is>
          <t>Costes de las ventas</t>
        </is>
      </c>
    </row>
    <row r="7">
      <c r="B7" t="inlineStr">
        <is>
          <t>Compras</t>
        </is>
      </c>
      <c r="C7" s="2" t="n">
        <v>0</v>
      </c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3">
        <f>SUM(C7:N7)</f>
        <v/>
      </c>
    </row>
    <row r="8">
      <c r="B8" t="inlineStr">
        <is>
          <t>Otros costes de las ventas</t>
        </is>
      </c>
      <c r="C8" s="2" t="n">
        <v>0</v>
      </c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3">
        <f>SUM(C8:N8)</f>
        <v/>
      </c>
    </row>
    <row r="10">
      <c r="B10" s="1" t="inlineStr">
        <is>
          <t>Margen (o Utilidad) Bruto {Gross margin}</t>
        </is>
      </c>
      <c r="C10" s="3">
        <f>SUM(C3:C5)-SUM(C7:C8)</f>
        <v/>
      </c>
      <c r="D10" s="3">
        <f>SUM(D3:D5)-SUM(D7:D8)</f>
        <v/>
      </c>
      <c r="E10" s="3">
        <f>SUM(E3:E5)-SUM(E7:E8)</f>
        <v/>
      </c>
      <c r="F10" s="3">
        <f>SUM(F3:F5)-SUM(F7:F8)</f>
        <v/>
      </c>
      <c r="G10" s="3">
        <f>SUM(G3:G5)-SUM(G7:G8)</f>
        <v/>
      </c>
      <c r="H10" s="3">
        <f>SUM(H3:H5)-SUM(H7:H8)</f>
        <v/>
      </c>
      <c r="I10" s="3">
        <f>SUM(I3:I5)-SUM(I7:I8)</f>
        <v/>
      </c>
      <c r="J10" s="3">
        <f>SUM(J3:J5)-SUM(J7:J8)</f>
        <v/>
      </c>
      <c r="K10" s="3">
        <f>SUM(K3:K5)-SUM(K7:K8)</f>
        <v/>
      </c>
      <c r="L10" s="3">
        <f>SUM(L3:L5)-SUM(L7:L8)</f>
        <v/>
      </c>
      <c r="M10" s="3">
        <f>SUM(M3:M5)-SUM(M7:M8)</f>
        <v/>
      </c>
      <c r="N10" s="3">
        <f>SUM(N3:N5)-SUM(N7:N8)</f>
        <v/>
      </c>
      <c r="O10" s="3">
        <f>SUM(O3:O5)-SUM(O7:O8)</f>
        <v/>
      </c>
    </row>
    <row r="12">
      <c r="A12" s="1" t="inlineStr">
        <is>
          <t>Gastos Operativos</t>
        </is>
      </c>
    </row>
    <row r="13">
      <c r="B13" t="inlineStr">
        <is>
          <t>Gastos comerciales (comisión del socio)</t>
        </is>
      </c>
      <c r="C13" s="2" t="n">
        <v>0</v>
      </c>
      <c r="D13" s="2" t="n">
        <v>0</v>
      </c>
      <c r="E13" s="2" t="n">
        <v>0</v>
      </c>
      <c r="F13" s="2" t="n">
        <v>0</v>
      </c>
      <c r="G13" s="2" t="n">
        <v>0</v>
      </c>
      <c r="H13" s="2" t="n">
        <v>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3">
        <f>SUM(C13:N13)</f>
        <v/>
      </c>
    </row>
    <row r="14">
      <c r="B14" t="inlineStr">
        <is>
          <t>Gastos generales (servicios externos, coworking, herramientas...)</t>
        </is>
      </c>
      <c r="C14" s="2" t="n">
        <v>2600</v>
      </c>
      <c r="D14" s="2" t="n">
        <v>2600</v>
      </c>
      <c r="E14" s="2" t="n">
        <v>2600</v>
      </c>
      <c r="F14" s="2" t="n">
        <v>2600</v>
      </c>
      <c r="G14" s="2" t="n">
        <v>2600</v>
      </c>
      <c r="H14" s="2" t="n">
        <v>2600</v>
      </c>
      <c r="I14" s="2" t="n">
        <v>2600</v>
      </c>
      <c r="J14" s="2" t="n">
        <v>2600</v>
      </c>
      <c r="K14" s="2" t="n">
        <v>2600</v>
      </c>
      <c r="L14" s="2" t="n">
        <v>2600</v>
      </c>
      <c r="M14" s="2" t="n">
        <v>2600</v>
      </c>
      <c r="N14" s="2" t="n">
        <v>2600</v>
      </c>
      <c r="O14" s="3">
        <f>SUM(C14:N14)</f>
        <v/>
      </c>
    </row>
    <row r="15">
      <c r="B15" t="inlineStr">
        <is>
          <t>Gastos administrativos (personal: sueldos brutos)</t>
        </is>
      </c>
      <c r="C15" s="2" t="n">
        <v>3750</v>
      </c>
      <c r="D15" s="2" t="n">
        <v>3750</v>
      </c>
      <c r="E15" s="2" t="n">
        <v>3750</v>
      </c>
      <c r="F15" s="2" t="n">
        <v>3750</v>
      </c>
      <c r="G15" s="2" t="n">
        <v>3750</v>
      </c>
      <c r="H15" s="2" t="n">
        <v>7500</v>
      </c>
      <c r="I15" s="2" t="n">
        <v>7500</v>
      </c>
      <c r="J15" s="2" t="n">
        <v>7500</v>
      </c>
      <c r="K15" s="2" t="n">
        <v>7500</v>
      </c>
      <c r="L15" s="2" t="n">
        <v>7500</v>
      </c>
      <c r="M15" s="2" t="n">
        <v>7500</v>
      </c>
      <c r="N15" s="2" t="n">
        <v>7500</v>
      </c>
      <c r="O15" s="3">
        <f>SUM(C15:N15)</f>
        <v/>
      </c>
    </row>
    <row r="16">
      <c r="B16" t="inlineStr">
        <is>
          <t>Impuestos sobre nómina (Seguridad Social de la empresa)</t>
        </is>
      </c>
      <c r="C16" s="2" t="n">
        <v>1125</v>
      </c>
      <c r="D16" s="2" t="n">
        <v>1125</v>
      </c>
      <c r="E16" s="2" t="n">
        <v>1125</v>
      </c>
      <c r="F16" s="2" t="n">
        <v>1125</v>
      </c>
      <c r="G16" s="2" t="n">
        <v>1125</v>
      </c>
      <c r="H16" s="2" t="n">
        <v>2250</v>
      </c>
      <c r="I16" s="2" t="n">
        <v>2250</v>
      </c>
      <c r="J16" s="2" t="n">
        <v>2250</v>
      </c>
      <c r="K16" s="2" t="n">
        <v>2250</v>
      </c>
      <c r="L16" s="2" t="n">
        <v>2250</v>
      </c>
      <c r="M16" s="2" t="n">
        <v>2250</v>
      </c>
      <c r="N16" s="2" t="n">
        <v>2250</v>
      </c>
      <c r="O16" s="3">
        <f>SUM(C16:N16)</f>
        <v/>
      </c>
    </row>
    <row r="17">
      <c r="B17" t="inlineStr">
        <is>
          <t>Otros costes (imprevistos)</t>
        </is>
      </c>
      <c r="C17" s="2" t="n">
        <v>373.75</v>
      </c>
      <c r="D17" s="2" t="n">
        <v>373.75</v>
      </c>
      <c r="E17" s="2" t="n">
        <v>373.75</v>
      </c>
      <c r="F17" s="2" t="n">
        <v>373.75</v>
      </c>
      <c r="G17" s="2" t="n">
        <v>373.75</v>
      </c>
      <c r="H17" s="2" t="n">
        <v>617.5</v>
      </c>
      <c r="I17" s="2" t="n">
        <v>617.5</v>
      </c>
      <c r="J17" s="2" t="n">
        <v>617.5</v>
      </c>
      <c r="K17" s="2" t="n">
        <v>617.5</v>
      </c>
      <c r="L17" s="2" t="n">
        <v>617.5</v>
      </c>
      <c r="M17" s="2" t="n">
        <v>617.5</v>
      </c>
      <c r="N17" s="2" t="n">
        <v>617.5</v>
      </c>
      <c r="O17" s="3">
        <f>SUM(C17:N17)</f>
        <v/>
      </c>
    </row>
    <row r="19">
      <c r="B19" s="1" t="inlineStr">
        <is>
          <t>{EBITDA} = Beneficio antes de amortizaciones, intereses e impuestos</t>
        </is>
      </c>
      <c r="C19" s="3">
        <f>C10-SUM(C13:C17)</f>
        <v/>
      </c>
      <c r="D19" s="3">
        <f>D10-SUM(D13:D17)</f>
        <v/>
      </c>
      <c r="E19" s="3">
        <f>E10-SUM(E13:E17)</f>
        <v/>
      </c>
      <c r="F19" s="3">
        <f>F10-SUM(F13:F17)</f>
        <v/>
      </c>
      <c r="G19" s="3">
        <f>G10-SUM(G13:G17)</f>
        <v/>
      </c>
      <c r="H19" s="3">
        <f>H10-SUM(H13:H17)</f>
        <v/>
      </c>
      <c r="I19" s="3">
        <f>I10-SUM(I13:I17)</f>
        <v/>
      </c>
      <c r="J19" s="3">
        <f>J10-SUM(J13:J17)</f>
        <v/>
      </c>
      <c r="K19" s="3">
        <f>K10-SUM(K13:K17)</f>
        <v/>
      </c>
      <c r="L19" s="3">
        <f>L10-SUM(L13:L17)</f>
        <v/>
      </c>
      <c r="M19" s="3">
        <f>M10-SUM(M13:M17)</f>
        <v/>
      </c>
      <c r="N19" s="3">
        <f>N10-SUM(N13:N17)</f>
        <v/>
      </c>
      <c r="O19" s="3">
        <f>O10-SUM(O13:O17)</f>
        <v/>
      </c>
    </row>
    <row r="21">
      <c r="B21" t="inlineStr">
        <is>
          <t>Amortizaciones del inmovilizado</t>
        </is>
      </c>
      <c r="C21" s="2" t="n">
        <v>245.8333333333333</v>
      </c>
      <c r="D21" s="2" t="n">
        <v>245.8333333333333</v>
      </c>
      <c r="E21" s="2" t="n">
        <v>245.8333333333333</v>
      </c>
      <c r="F21" s="2" t="n">
        <v>245.8333333333334</v>
      </c>
      <c r="G21" s="2" t="n">
        <v>245.8333333333334</v>
      </c>
      <c r="H21" s="2" t="n">
        <v>245.8333333333333</v>
      </c>
      <c r="I21" s="2" t="n">
        <v>245.8333333333334</v>
      </c>
      <c r="J21" s="2" t="n">
        <v>245.8333333333333</v>
      </c>
      <c r="K21" s="2" t="n">
        <v>245.8333333333333</v>
      </c>
      <c r="L21" s="2" t="n">
        <v>245.8333333333334</v>
      </c>
      <c r="M21" s="2" t="n">
        <v>245.8333333333334</v>
      </c>
      <c r="N21" s="2" t="n">
        <v>245.8333333333332</v>
      </c>
      <c r="O21" s="3">
        <f>SUM(C21:N21)</f>
        <v/>
      </c>
    </row>
    <row r="23">
      <c r="B23" s="1" t="inlineStr">
        <is>
          <t>BAII = Beneficio antes de intereses e impuestos {EBIT}</t>
        </is>
      </c>
      <c r="C23" s="3">
        <f>C19-C21</f>
        <v/>
      </c>
      <c r="D23" s="3">
        <f>D19-D21</f>
        <v/>
      </c>
      <c r="E23" s="3">
        <f>E19-E21</f>
        <v/>
      </c>
      <c r="F23" s="3">
        <f>F19-F21</f>
        <v/>
      </c>
      <c r="G23" s="3">
        <f>G19-G21</f>
        <v/>
      </c>
      <c r="H23" s="3">
        <f>H19-H21</f>
        <v/>
      </c>
      <c r="I23" s="3">
        <f>I19-I21</f>
        <v/>
      </c>
      <c r="J23" s="3">
        <f>J19-J21</f>
        <v/>
      </c>
      <c r="K23" s="3">
        <f>K19-K21</f>
        <v/>
      </c>
      <c r="L23" s="3">
        <f>L19-L21</f>
        <v/>
      </c>
      <c r="M23" s="3">
        <f>M19-M21</f>
        <v/>
      </c>
      <c r="N23" s="3">
        <f>N19-N21</f>
        <v/>
      </c>
      <c r="O23" s="3">
        <f>O19-O21</f>
        <v/>
      </c>
    </row>
    <row r="25">
      <c r="A25" s="1" t="inlineStr">
        <is>
          <t>Gastos financieros</t>
        </is>
      </c>
    </row>
    <row r="26">
      <c r="B26" t="inlineStr">
        <is>
          <t>Intereses y comisiones de los préstamos</t>
        </is>
      </c>
      <c r="C26" s="2" t="n">
        <v>108.3333333333333</v>
      </c>
      <c r="D26" s="2" t="n">
        <v>108.3333333333333</v>
      </c>
      <c r="E26" s="2" t="n">
        <v>108.3333333333333</v>
      </c>
      <c r="F26" s="2" t="n">
        <v>108.3333333333333</v>
      </c>
      <c r="G26" s="2" t="n">
        <v>108.3333333333333</v>
      </c>
      <c r="H26" s="2" t="n">
        <v>283.3333333333333</v>
      </c>
      <c r="I26" s="2" t="n">
        <v>283.3333333333333</v>
      </c>
      <c r="J26" s="2" t="n">
        <v>283.3333333333333</v>
      </c>
      <c r="K26" s="2" t="n">
        <v>283.3333333333333</v>
      </c>
      <c r="L26" s="2" t="n">
        <v>283.3333333333333</v>
      </c>
      <c r="M26" s="2" t="n">
        <v>283.3333333333333</v>
      </c>
      <c r="N26" s="2" t="n">
        <v>283.3333333333333</v>
      </c>
      <c r="O26" s="3">
        <f>SUM(C26:N26)</f>
        <v/>
      </c>
    </row>
    <row r="28">
      <c r="B28" s="1" t="inlineStr">
        <is>
          <t>BAI = Beneficios antes de impuestos {EBT}</t>
        </is>
      </c>
      <c r="C28" s="3">
        <f>C23-C26</f>
        <v/>
      </c>
      <c r="D28" s="3">
        <f>D23-D26</f>
        <v/>
      </c>
      <c r="E28" s="3">
        <f>E23-E26</f>
        <v/>
      </c>
      <c r="F28" s="3">
        <f>F23-F26</f>
        <v/>
      </c>
      <c r="G28" s="3">
        <f>G23-G26</f>
        <v/>
      </c>
      <c r="H28" s="3">
        <f>H23-H26</f>
        <v/>
      </c>
      <c r="I28" s="3">
        <f>I23-I26</f>
        <v/>
      </c>
      <c r="J28" s="3">
        <f>J23-J26</f>
        <v/>
      </c>
      <c r="K28" s="3">
        <f>K23-K26</f>
        <v/>
      </c>
      <c r="L28" s="3">
        <f>L23-L26</f>
        <v/>
      </c>
      <c r="M28" s="3">
        <f>M23-M26</f>
        <v/>
      </c>
      <c r="N28" s="3">
        <f>N23-N26</f>
        <v/>
      </c>
      <c r="O28" s="3">
        <f>O23-O26</f>
        <v/>
      </c>
    </row>
    <row r="30">
      <c r="B30" t="inlineStr">
        <is>
          <t>Impuesto de sociedades (25 %, con las bases negativas compensadas)</t>
        </is>
      </c>
      <c r="C30" s="2" t="n">
        <v>0</v>
      </c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3">
        <f>SUM(C30:N30)</f>
        <v/>
      </c>
    </row>
    <row r="32">
      <c r="B32" s="1" t="inlineStr">
        <is>
          <t>BDI = Beneficios después de impuestos {Net profit}</t>
        </is>
      </c>
      <c r="C32" s="3">
        <f>C28-C30</f>
        <v/>
      </c>
      <c r="D32" s="3">
        <f>D28-D30</f>
        <v/>
      </c>
      <c r="E32" s="3">
        <f>E28-E30</f>
        <v/>
      </c>
      <c r="F32" s="3">
        <f>F28-F30</f>
        <v/>
      </c>
      <c r="G32" s="3">
        <f>G28-G30</f>
        <v/>
      </c>
      <c r="H32" s="3">
        <f>H28-H30</f>
        <v/>
      </c>
      <c r="I32" s="3">
        <f>I28-I30</f>
        <v/>
      </c>
      <c r="J32" s="3">
        <f>J28-J30</f>
        <v/>
      </c>
      <c r="K32" s="3">
        <f>K28-K30</f>
        <v/>
      </c>
      <c r="L32" s="3">
        <f>L28-L30</f>
        <v/>
      </c>
      <c r="M32" s="3">
        <f>M28-M30</f>
        <v/>
      </c>
      <c r="N32" s="3">
        <f>N28-N30</f>
        <v/>
      </c>
      <c r="O32" s="3">
        <f>O28-O30</f>
        <v/>
      </c>
    </row>
    <row r="35">
      <c r="A35" s="1" t="inlineStr">
        <is>
          <t>Pro Memoria</t>
        </is>
      </c>
    </row>
    <row r="36">
      <c r="B36" s="1" t="inlineStr">
        <is>
          <t>Gross Cash Flow (BAI + amortizaciones)</t>
        </is>
      </c>
      <c r="C36" s="3">
        <f>C28+C21</f>
        <v/>
      </c>
      <c r="D36" s="3">
        <f>D28+D21</f>
        <v/>
      </c>
      <c r="E36" s="3">
        <f>E28+E21</f>
        <v/>
      </c>
      <c r="F36" s="3">
        <f>F28+F21</f>
        <v/>
      </c>
      <c r="G36" s="3">
        <f>G28+G21</f>
        <v/>
      </c>
      <c r="H36" s="3">
        <f>H28+H21</f>
        <v/>
      </c>
      <c r="I36" s="3">
        <f>I28+I21</f>
        <v/>
      </c>
      <c r="J36" s="3">
        <f>J28+J21</f>
        <v/>
      </c>
      <c r="K36" s="3">
        <f>K28+K21</f>
        <v/>
      </c>
      <c r="L36" s="3">
        <f>L28+L21</f>
        <v/>
      </c>
      <c r="M36" s="3">
        <f>M28+M21</f>
        <v/>
      </c>
      <c r="N36" s="3">
        <f>N28+N21</f>
        <v/>
      </c>
      <c r="O36" s="3">
        <f>O28+O21</f>
        <v/>
      </c>
    </row>
    <row r="37">
      <c r="B37" s="1" t="inlineStr">
        <is>
          <t>Net Cash Flow (BDI + amortizaciones)</t>
        </is>
      </c>
      <c r="C37" s="3">
        <f>C32+C21</f>
        <v/>
      </c>
      <c r="D37" s="3">
        <f>D32+D21</f>
        <v/>
      </c>
      <c r="E37" s="3">
        <f>E32+E21</f>
        <v/>
      </c>
      <c r="F37" s="3">
        <f>F32+F21</f>
        <v/>
      </c>
      <c r="G37" s="3">
        <f>G32+G21</f>
        <v/>
      </c>
      <c r="H37" s="3">
        <f>H32+H21</f>
        <v/>
      </c>
      <c r="I37" s="3">
        <f>I32+I21</f>
        <v/>
      </c>
      <c r="J37" s="3">
        <f>J32+J21</f>
        <v/>
      </c>
      <c r="K37" s="3">
        <f>K32+K21</f>
        <v/>
      </c>
      <c r="L37" s="3">
        <f>L32+L21</f>
        <v/>
      </c>
      <c r="M37" s="3">
        <f>M32+M21</f>
        <v/>
      </c>
      <c r="N37" s="3">
        <f>N32+N21</f>
        <v/>
      </c>
      <c r="O37" s="3">
        <f>O32+O21</f>
        <v/>
      </c>
    </row>
    <row r="39">
      <c r="B39" t="inlineStr">
        <is>
          <t>El impuesto de sociedades se devenga en el cierre de cada año (mes 12), con las bases negativas de años anteriores compensadas.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selection activeCell="A1" sqref="A1"/>
    </sheetView>
  </sheetViews>
  <sheetFormatPr baseColWidth="8" defaultRowHeight="15"/>
  <cols>
    <col width="4" customWidth="1" min="1" max="1"/>
    <col width="6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C1" s="1" t="inlineStr">
        <is>
          <t>Enero</t>
        </is>
      </c>
      <c r="D1" s="1" t="inlineStr">
        <is>
          <t>Febrero</t>
        </is>
      </c>
      <c r="E1" s="1" t="inlineStr">
        <is>
          <t>Marzo</t>
        </is>
      </c>
      <c r="F1" s="1" t="inlineStr">
        <is>
          <t>Abril</t>
        </is>
      </c>
      <c r="G1" s="1" t="inlineStr">
        <is>
          <t>Mayo</t>
        </is>
      </c>
      <c r="H1" s="1" t="inlineStr">
        <is>
          <t>Junio</t>
        </is>
      </c>
      <c r="I1" s="1" t="inlineStr">
        <is>
          <t>Julio</t>
        </is>
      </c>
      <c r="J1" s="1" t="inlineStr">
        <is>
          <t>Agosto</t>
        </is>
      </c>
      <c r="K1" s="1" t="inlineStr">
        <is>
          <t>Septiembre</t>
        </is>
      </c>
      <c r="L1" s="1" t="inlineStr">
        <is>
          <t>Octubre</t>
        </is>
      </c>
      <c r="M1" s="1" t="inlineStr">
        <is>
          <t>Noviembre</t>
        </is>
      </c>
      <c r="N1" s="1" t="inlineStr">
        <is>
          <t>Diciembre</t>
        </is>
      </c>
      <c r="O1" s="1" t="inlineStr">
        <is>
          <t>Agregado</t>
        </is>
      </c>
    </row>
    <row r="2">
      <c r="A2" s="1" t="inlineStr">
        <is>
          <t>Ingresos</t>
        </is>
      </c>
    </row>
    <row r="3">
      <c r="B3" t="inlineStr">
        <is>
          <t>Ventas: implantaciones</t>
        </is>
      </c>
      <c r="C3" s="2" t="n">
        <v>0</v>
      </c>
      <c r="D3" s="2" t="n">
        <v>20000</v>
      </c>
      <c r="E3" s="2" t="n">
        <v>0</v>
      </c>
      <c r="F3" s="2" t="n">
        <v>20000</v>
      </c>
      <c r="G3" s="2" t="n">
        <v>0</v>
      </c>
      <c r="H3" s="2" t="n">
        <v>20000</v>
      </c>
      <c r="I3" s="2" t="n">
        <v>0</v>
      </c>
      <c r="J3" s="2" t="n">
        <v>20000</v>
      </c>
      <c r="K3" s="2" t="n">
        <v>0</v>
      </c>
      <c r="L3" s="2" t="n">
        <v>20000</v>
      </c>
      <c r="M3" s="2" t="n">
        <v>0</v>
      </c>
      <c r="N3" s="2" t="n">
        <v>20000</v>
      </c>
      <c r="O3" s="3">
        <f>SUM(C3:N3)</f>
        <v/>
      </c>
    </row>
    <row r="4">
      <c r="B4" t="inlineStr">
        <is>
          <t>Ventas: licencias</t>
        </is>
      </c>
      <c r="C4" s="2" t="n">
        <v>4912.5</v>
      </c>
      <c r="D4" s="2" t="n">
        <v>6550</v>
      </c>
      <c r="E4" s="2" t="n">
        <v>6550</v>
      </c>
      <c r="F4" s="2" t="n">
        <v>8187.5</v>
      </c>
      <c r="G4" s="2" t="n">
        <v>8187.5</v>
      </c>
      <c r="H4" s="2" t="n">
        <v>9825</v>
      </c>
      <c r="I4" s="2" t="n">
        <v>9825</v>
      </c>
      <c r="J4" s="2" t="n">
        <v>11462.5</v>
      </c>
      <c r="K4" s="2" t="n">
        <v>9825</v>
      </c>
      <c r="L4" s="2" t="n">
        <v>11462.5</v>
      </c>
      <c r="M4" s="2" t="n">
        <v>11462.5</v>
      </c>
      <c r="N4" s="2" t="n">
        <v>13100</v>
      </c>
      <c r="O4" s="3">
        <f>SUM(C4:N4)</f>
        <v/>
      </c>
    </row>
    <row r="5">
      <c r="A5" t="inlineStr">
        <is>
          <t>Variación de las existencias (±)</t>
        </is>
      </c>
      <c r="C5" s="2" t="n">
        <v>0</v>
      </c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3">
        <f>SUM(C5:N5)</f>
        <v/>
      </c>
    </row>
    <row r="6">
      <c r="A6" s="1" t="inlineStr">
        <is>
          <t>Costes de las ventas</t>
        </is>
      </c>
    </row>
    <row r="7">
      <c r="B7" t="inlineStr">
        <is>
          <t>Compras</t>
        </is>
      </c>
      <c r="C7" s="2" t="n">
        <v>0</v>
      </c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3">
        <f>SUM(C7:N7)</f>
        <v/>
      </c>
    </row>
    <row r="8">
      <c r="B8" t="inlineStr">
        <is>
          <t>Otros costes de las ventas</t>
        </is>
      </c>
      <c r="C8" s="2" t="n">
        <v>0</v>
      </c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3">
        <f>SUM(C8:N8)</f>
        <v/>
      </c>
    </row>
    <row r="10">
      <c r="B10" s="1" t="inlineStr">
        <is>
          <t>Margen (o Utilidad) Bruto {Gross margin}</t>
        </is>
      </c>
      <c r="C10" s="3">
        <f>SUM(C3:C5)-SUM(C7:C8)</f>
        <v/>
      </c>
      <c r="D10" s="3">
        <f>SUM(D3:D5)-SUM(D7:D8)</f>
        <v/>
      </c>
      <c r="E10" s="3">
        <f>SUM(E3:E5)-SUM(E7:E8)</f>
        <v/>
      </c>
      <c r="F10" s="3">
        <f>SUM(F3:F5)-SUM(F7:F8)</f>
        <v/>
      </c>
      <c r="G10" s="3">
        <f>SUM(G3:G5)-SUM(G7:G8)</f>
        <v/>
      </c>
      <c r="H10" s="3">
        <f>SUM(H3:H5)-SUM(H7:H8)</f>
        <v/>
      </c>
      <c r="I10" s="3">
        <f>SUM(I3:I5)-SUM(I7:I8)</f>
        <v/>
      </c>
      <c r="J10" s="3">
        <f>SUM(J3:J5)-SUM(J7:J8)</f>
        <v/>
      </c>
      <c r="K10" s="3">
        <f>SUM(K3:K5)-SUM(K7:K8)</f>
        <v/>
      </c>
      <c r="L10" s="3">
        <f>SUM(L3:L5)-SUM(L7:L8)</f>
        <v/>
      </c>
      <c r="M10" s="3">
        <f>SUM(M3:M5)-SUM(M7:M8)</f>
        <v/>
      </c>
      <c r="N10" s="3">
        <f>SUM(N3:N5)-SUM(N7:N8)</f>
        <v/>
      </c>
      <c r="O10" s="3">
        <f>SUM(O3:O5)-SUM(O7:O8)</f>
        <v/>
      </c>
    </row>
    <row r="12">
      <c r="A12" s="1" t="inlineStr">
        <is>
          <t>Gastos Operativos</t>
        </is>
      </c>
    </row>
    <row r="13">
      <c r="B13" t="inlineStr">
        <is>
          <t>Gastos comerciales (comisión del socio)</t>
        </is>
      </c>
      <c r="C13" s="2" t="n">
        <v>491.25</v>
      </c>
      <c r="D13" s="2" t="n">
        <v>655</v>
      </c>
      <c r="E13" s="2" t="n">
        <v>655</v>
      </c>
      <c r="F13" s="2" t="n">
        <v>818.75</v>
      </c>
      <c r="G13" s="2" t="n">
        <v>818.75</v>
      </c>
      <c r="H13" s="2" t="n">
        <v>982.5</v>
      </c>
      <c r="I13" s="2" t="n">
        <v>982.5</v>
      </c>
      <c r="J13" s="2" t="n">
        <v>1146.25</v>
      </c>
      <c r="K13" s="2" t="n">
        <v>982.5</v>
      </c>
      <c r="L13" s="2" t="n">
        <v>1146.25</v>
      </c>
      <c r="M13" s="2" t="n">
        <v>1146.25</v>
      </c>
      <c r="N13" s="2" t="n">
        <v>1310</v>
      </c>
      <c r="O13" s="3">
        <f>SUM(C13:N13)</f>
        <v/>
      </c>
    </row>
    <row r="14">
      <c r="B14" t="inlineStr">
        <is>
          <t>Gastos generales (servicios externos, coworking, herramientas...)</t>
        </is>
      </c>
      <c r="C14" s="2" t="n">
        <v>4733.333333333333</v>
      </c>
      <c r="D14" s="2" t="n">
        <v>4733.333333333333</v>
      </c>
      <c r="E14" s="2" t="n">
        <v>4733.333333333333</v>
      </c>
      <c r="F14" s="2" t="n">
        <v>4733.333333333333</v>
      </c>
      <c r="G14" s="2" t="n">
        <v>4733.333333333333</v>
      </c>
      <c r="H14" s="2" t="n">
        <v>4733.333333333333</v>
      </c>
      <c r="I14" s="2" t="n">
        <v>4733.333333333333</v>
      </c>
      <c r="J14" s="2" t="n">
        <v>4733.333333333333</v>
      </c>
      <c r="K14" s="2" t="n">
        <v>4733.333333333333</v>
      </c>
      <c r="L14" s="2" t="n">
        <v>4733.333333333333</v>
      </c>
      <c r="M14" s="2" t="n">
        <v>4733.333333333333</v>
      </c>
      <c r="N14" s="2" t="n">
        <v>4733.333333333333</v>
      </c>
      <c r="O14" s="3">
        <f>SUM(C14:N14)</f>
        <v/>
      </c>
    </row>
    <row r="15">
      <c r="B15" t="inlineStr">
        <is>
          <t>Gastos administrativos (personal: sueldos brutos)</t>
        </is>
      </c>
      <c r="C15" s="2" t="n">
        <v>10000</v>
      </c>
      <c r="D15" s="2" t="n">
        <v>10000</v>
      </c>
      <c r="E15" s="2" t="n">
        <v>10000</v>
      </c>
      <c r="F15" s="2" t="n">
        <v>10000</v>
      </c>
      <c r="G15" s="2" t="n">
        <v>10000</v>
      </c>
      <c r="H15" s="2" t="n">
        <v>10000</v>
      </c>
      <c r="I15" s="2" t="n">
        <v>10000</v>
      </c>
      <c r="J15" s="2" t="n">
        <v>10000</v>
      </c>
      <c r="K15" s="2" t="n">
        <v>10000</v>
      </c>
      <c r="L15" s="2" t="n">
        <v>10000</v>
      </c>
      <c r="M15" s="2" t="n">
        <v>10000</v>
      </c>
      <c r="N15" s="2" t="n">
        <v>10000</v>
      </c>
      <c r="O15" s="3">
        <f>SUM(C15:N15)</f>
        <v/>
      </c>
    </row>
    <row r="16">
      <c r="B16" t="inlineStr">
        <is>
          <t>Impuestos sobre nómina (Seguridad Social de la empresa)</t>
        </is>
      </c>
      <c r="C16" s="2" t="n">
        <v>3000</v>
      </c>
      <c r="D16" s="2" t="n">
        <v>3000</v>
      </c>
      <c r="E16" s="2" t="n">
        <v>3000</v>
      </c>
      <c r="F16" s="2" t="n">
        <v>3000</v>
      </c>
      <c r="G16" s="2" t="n">
        <v>3000</v>
      </c>
      <c r="H16" s="2" t="n">
        <v>3000</v>
      </c>
      <c r="I16" s="2" t="n">
        <v>3000</v>
      </c>
      <c r="J16" s="2" t="n">
        <v>3000</v>
      </c>
      <c r="K16" s="2" t="n">
        <v>3000</v>
      </c>
      <c r="L16" s="2" t="n">
        <v>3000</v>
      </c>
      <c r="M16" s="2" t="n">
        <v>3000</v>
      </c>
      <c r="N16" s="2" t="n">
        <v>3000</v>
      </c>
      <c r="O16" s="3">
        <f>SUM(C16:N16)</f>
        <v/>
      </c>
    </row>
    <row r="17">
      <c r="B17" t="inlineStr">
        <is>
          <t>Otros costes (imprevistos)</t>
        </is>
      </c>
      <c r="C17" s="2" t="n">
        <v>911.2291666666666</v>
      </c>
      <c r="D17" s="2" t="n">
        <v>919.4166666666666</v>
      </c>
      <c r="E17" s="2" t="n">
        <v>919.4166666666666</v>
      </c>
      <c r="F17" s="2" t="n">
        <v>927.6041666666666</v>
      </c>
      <c r="G17" s="2" t="n">
        <v>927.6041666666666</v>
      </c>
      <c r="H17" s="2" t="n">
        <v>935.7916666666666</v>
      </c>
      <c r="I17" s="2" t="n">
        <v>935.7916666666666</v>
      </c>
      <c r="J17" s="2" t="n">
        <v>943.9791666666666</v>
      </c>
      <c r="K17" s="2" t="n">
        <v>935.7916666666666</v>
      </c>
      <c r="L17" s="2" t="n">
        <v>943.9791666666666</v>
      </c>
      <c r="M17" s="2" t="n">
        <v>943.9791666666666</v>
      </c>
      <c r="N17" s="2" t="n">
        <v>952.1666666666666</v>
      </c>
      <c r="O17" s="3">
        <f>SUM(C17:N17)</f>
        <v/>
      </c>
    </row>
    <row r="19">
      <c r="B19" s="1" t="inlineStr">
        <is>
          <t>{EBITDA} = Beneficio antes de amortizaciones, intereses e impuestos</t>
        </is>
      </c>
      <c r="C19" s="3">
        <f>C10-SUM(C13:C17)</f>
        <v/>
      </c>
      <c r="D19" s="3">
        <f>D10-SUM(D13:D17)</f>
        <v/>
      </c>
      <c r="E19" s="3">
        <f>E10-SUM(E13:E17)</f>
        <v/>
      </c>
      <c r="F19" s="3">
        <f>F10-SUM(F13:F17)</f>
        <v/>
      </c>
      <c r="G19" s="3">
        <f>G10-SUM(G13:G17)</f>
        <v/>
      </c>
      <c r="H19" s="3">
        <f>H10-SUM(H13:H17)</f>
        <v/>
      </c>
      <c r="I19" s="3">
        <f>I10-SUM(I13:I17)</f>
        <v/>
      </c>
      <c r="J19" s="3">
        <f>J10-SUM(J13:J17)</f>
        <v/>
      </c>
      <c r="K19" s="3">
        <f>K10-SUM(K13:K17)</f>
        <v/>
      </c>
      <c r="L19" s="3">
        <f>L10-SUM(L13:L17)</f>
        <v/>
      </c>
      <c r="M19" s="3">
        <f>M10-SUM(M13:M17)</f>
        <v/>
      </c>
      <c r="N19" s="3">
        <f>N10-SUM(N13:N17)</f>
        <v/>
      </c>
      <c r="O19" s="3">
        <f>O10-SUM(O13:O17)</f>
        <v/>
      </c>
    </row>
    <row r="21">
      <c r="B21" t="inlineStr">
        <is>
          <t>Amortizaciones del inmovilizado</t>
        </is>
      </c>
      <c r="C21" s="2" t="n">
        <v>291.6666666666668</v>
      </c>
      <c r="D21" s="2" t="n">
        <v>300.0000000000001</v>
      </c>
      <c r="E21" s="2" t="n">
        <v>299.9999999999999</v>
      </c>
      <c r="F21" s="2" t="n">
        <v>300.0000000000001</v>
      </c>
      <c r="G21" s="2" t="n">
        <v>300.0000000000001</v>
      </c>
      <c r="H21" s="2" t="n">
        <v>299.9999999999999</v>
      </c>
      <c r="I21" s="2" t="n">
        <v>300.0000000000001</v>
      </c>
      <c r="J21" s="2" t="n">
        <v>300.0000000000001</v>
      </c>
      <c r="K21" s="2" t="n">
        <v>299.9999999999999</v>
      </c>
      <c r="L21" s="2" t="n">
        <v>300.0000000000003</v>
      </c>
      <c r="M21" s="2" t="n">
        <v>299.9999999999999</v>
      </c>
      <c r="N21" s="2" t="n">
        <v>299.9999999999999</v>
      </c>
      <c r="O21" s="3">
        <f>SUM(C21:N21)</f>
        <v/>
      </c>
    </row>
    <row r="23">
      <c r="B23" s="1" t="inlineStr">
        <is>
          <t>BAII = Beneficio antes de intereses e impuestos {EBIT}</t>
        </is>
      </c>
      <c r="C23" s="3">
        <f>C19-C21</f>
        <v/>
      </c>
      <c r="D23" s="3">
        <f>D19-D21</f>
        <v/>
      </c>
      <c r="E23" s="3">
        <f>E19-E21</f>
        <v/>
      </c>
      <c r="F23" s="3">
        <f>F19-F21</f>
        <v/>
      </c>
      <c r="G23" s="3">
        <f>G19-G21</f>
        <v/>
      </c>
      <c r="H23" s="3">
        <f>H19-H21</f>
        <v/>
      </c>
      <c r="I23" s="3">
        <f>I19-I21</f>
        <v/>
      </c>
      <c r="J23" s="3">
        <f>J19-J21</f>
        <v/>
      </c>
      <c r="K23" s="3">
        <f>K19-K21</f>
        <v/>
      </c>
      <c r="L23" s="3">
        <f>L19-L21</f>
        <v/>
      </c>
      <c r="M23" s="3">
        <f>M19-M21</f>
        <v/>
      </c>
      <c r="N23" s="3">
        <f>N19-N21</f>
        <v/>
      </c>
      <c r="O23" s="3">
        <f>O19-O21</f>
        <v/>
      </c>
    </row>
    <row r="25">
      <c r="A25" s="1" t="inlineStr">
        <is>
          <t>Gastos financieros</t>
        </is>
      </c>
    </row>
    <row r="26">
      <c r="B26" t="inlineStr">
        <is>
          <t>Intereses y comisiones de los préstamos</t>
        </is>
      </c>
      <c r="C26" s="2" t="n">
        <v>283.3333333333333</v>
      </c>
      <c r="D26" s="2" t="n">
        <v>281.0763888888889</v>
      </c>
      <c r="E26" s="2" t="n">
        <v>278.8194444444445</v>
      </c>
      <c r="F26" s="2" t="n">
        <v>276.5625</v>
      </c>
      <c r="G26" s="2" t="n">
        <v>274.3055555555555</v>
      </c>
      <c r="H26" s="2" t="n">
        <v>272.0486111111111</v>
      </c>
      <c r="I26" s="2" t="n">
        <v>269.7916666666666</v>
      </c>
      <c r="J26" s="2" t="n">
        <v>267.5347222222222</v>
      </c>
      <c r="K26" s="2" t="n">
        <v>265.2777777777777</v>
      </c>
      <c r="L26" s="2" t="n">
        <v>263.0208333333333</v>
      </c>
      <c r="M26" s="2" t="n">
        <v>260.7638888888889</v>
      </c>
      <c r="N26" s="2" t="n">
        <v>258.5069444444444</v>
      </c>
      <c r="O26" s="3">
        <f>SUM(C26:N26)</f>
        <v/>
      </c>
    </row>
    <row r="28">
      <c r="B28" s="1" t="inlineStr">
        <is>
          <t>BAI = Beneficios antes de impuestos {EBT}</t>
        </is>
      </c>
      <c r="C28" s="3">
        <f>C23-C26</f>
        <v/>
      </c>
      <c r="D28" s="3">
        <f>D23-D26</f>
        <v/>
      </c>
      <c r="E28" s="3">
        <f>E23-E26</f>
        <v/>
      </c>
      <c r="F28" s="3">
        <f>F23-F26</f>
        <v/>
      </c>
      <c r="G28" s="3">
        <f>G23-G26</f>
        <v/>
      </c>
      <c r="H28" s="3">
        <f>H23-H26</f>
        <v/>
      </c>
      <c r="I28" s="3">
        <f>I23-I26</f>
        <v/>
      </c>
      <c r="J28" s="3">
        <f>J23-J26</f>
        <v/>
      </c>
      <c r="K28" s="3">
        <f>K23-K26</f>
        <v/>
      </c>
      <c r="L28" s="3">
        <f>L23-L26</f>
        <v/>
      </c>
      <c r="M28" s="3">
        <f>M23-M26</f>
        <v/>
      </c>
      <c r="N28" s="3">
        <f>N23-N26</f>
        <v/>
      </c>
      <c r="O28" s="3">
        <f>O23-O26</f>
        <v/>
      </c>
    </row>
    <row r="30">
      <c r="B30" t="inlineStr">
        <is>
          <t>Impuesto de sociedades (25 %, con las bases negativas compensadas)</t>
        </is>
      </c>
      <c r="C30" s="2" t="n">
        <v>0</v>
      </c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3">
        <f>SUM(C30:N30)</f>
        <v/>
      </c>
    </row>
    <row r="32">
      <c r="B32" s="1" t="inlineStr">
        <is>
          <t>BDI = Beneficios después de impuestos {Net profit}</t>
        </is>
      </c>
      <c r="C32" s="3">
        <f>C28-C30</f>
        <v/>
      </c>
      <c r="D32" s="3">
        <f>D28-D30</f>
        <v/>
      </c>
      <c r="E32" s="3">
        <f>E28-E30</f>
        <v/>
      </c>
      <c r="F32" s="3">
        <f>F28-F30</f>
        <v/>
      </c>
      <c r="G32" s="3">
        <f>G28-G30</f>
        <v/>
      </c>
      <c r="H32" s="3">
        <f>H28-H30</f>
        <v/>
      </c>
      <c r="I32" s="3">
        <f>I28-I30</f>
        <v/>
      </c>
      <c r="J32" s="3">
        <f>J28-J30</f>
        <v/>
      </c>
      <c r="K32" s="3">
        <f>K28-K30</f>
        <v/>
      </c>
      <c r="L32" s="3">
        <f>L28-L30</f>
        <v/>
      </c>
      <c r="M32" s="3">
        <f>M28-M30</f>
        <v/>
      </c>
      <c r="N32" s="3">
        <f>N28-N30</f>
        <v/>
      </c>
      <c r="O32" s="3">
        <f>O28-O30</f>
        <v/>
      </c>
    </row>
    <row r="35">
      <c r="A35" s="1" t="inlineStr">
        <is>
          <t>Pro Memoria</t>
        </is>
      </c>
    </row>
    <row r="36">
      <c r="B36" s="1" t="inlineStr">
        <is>
          <t>Gross Cash Flow (BAI + amortizaciones)</t>
        </is>
      </c>
      <c r="C36" s="3">
        <f>C28+C21</f>
        <v/>
      </c>
      <c r="D36" s="3">
        <f>D28+D21</f>
        <v/>
      </c>
      <c r="E36" s="3">
        <f>E28+E21</f>
        <v/>
      </c>
      <c r="F36" s="3">
        <f>F28+F21</f>
        <v/>
      </c>
      <c r="G36" s="3">
        <f>G28+G21</f>
        <v/>
      </c>
      <c r="H36" s="3">
        <f>H28+H21</f>
        <v/>
      </c>
      <c r="I36" s="3">
        <f>I28+I21</f>
        <v/>
      </c>
      <c r="J36" s="3">
        <f>J28+J21</f>
        <v/>
      </c>
      <c r="K36" s="3">
        <f>K28+K21</f>
        <v/>
      </c>
      <c r="L36" s="3">
        <f>L28+L21</f>
        <v/>
      </c>
      <c r="M36" s="3">
        <f>M28+M21</f>
        <v/>
      </c>
      <c r="N36" s="3">
        <f>N28+N21</f>
        <v/>
      </c>
      <c r="O36" s="3">
        <f>O28+O21</f>
        <v/>
      </c>
    </row>
    <row r="37">
      <c r="B37" s="1" t="inlineStr">
        <is>
          <t>Net Cash Flow (BDI + amortizaciones)</t>
        </is>
      </c>
      <c r="C37" s="3">
        <f>C32+C21</f>
        <v/>
      </c>
      <c r="D37" s="3">
        <f>D32+D21</f>
        <v/>
      </c>
      <c r="E37" s="3">
        <f>E32+E21</f>
        <v/>
      </c>
      <c r="F37" s="3">
        <f>F32+F21</f>
        <v/>
      </c>
      <c r="G37" s="3">
        <f>G32+G21</f>
        <v/>
      </c>
      <c r="H37" s="3">
        <f>H32+H21</f>
        <v/>
      </c>
      <c r="I37" s="3">
        <f>I32+I21</f>
        <v/>
      </c>
      <c r="J37" s="3">
        <f>J32+J21</f>
        <v/>
      </c>
      <c r="K37" s="3">
        <f>K32+K21</f>
        <v/>
      </c>
      <c r="L37" s="3">
        <f>L32+L21</f>
        <v/>
      </c>
      <c r="M37" s="3">
        <f>M32+M21</f>
        <v/>
      </c>
      <c r="N37" s="3">
        <f>N32+N21</f>
        <v/>
      </c>
      <c r="O37" s="3">
        <f>O32+O21</f>
        <v/>
      </c>
    </row>
    <row r="39">
      <c r="B39" t="inlineStr">
        <is>
          <t>El impuesto de sociedades se devenga en el cierre de cada año (mes 12), con las bases negativas de años anteriores compensadas.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selection activeCell="A1" sqref="A1"/>
    </sheetView>
  </sheetViews>
  <sheetFormatPr baseColWidth="8" defaultRowHeight="15"/>
  <cols>
    <col width="4" customWidth="1" min="1" max="1"/>
    <col width="6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C1" s="1" t="inlineStr">
        <is>
          <t>Enero</t>
        </is>
      </c>
      <c r="D1" s="1" t="inlineStr">
        <is>
          <t>Febrero</t>
        </is>
      </c>
      <c r="E1" s="1" t="inlineStr">
        <is>
          <t>Marzo</t>
        </is>
      </c>
      <c r="F1" s="1" t="inlineStr">
        <is>
          <t>Abril</t>
        </is>
      </c>
      <c r="G1" s="1" t="inlineStr">
        <is>
          <t>Mayo</t>
        </is>
      </c>
      <c r="H1" s="1" t="inlineStr">
        <is>
          <t>Junio</t>
        </is>
      </c>
      <c r="I1" s="1" t="inlineStr">
        <is>
          <t>Julio</t>
        </is>
      </c>
      <c r="J1" s="1" t="inlineStr">
        <is>
          <t>Agosto</t>
        </is>
      </c>
      <c r="K1" s="1" t="inlineStr">
        <is>
          <t>Septiembre</t>
        </is>
      </c>
      <c r="L1" s="1" t="inlineStr">
        <is>
          <t>Octubre</t>
        </is>
      </c>
      <c r="M1" s="1" t="inlineStr">
        <is>
          <t>Noviembre</t>
        </is>
      </c>
      <c r="N1" s="1" t="inlineStr">
        <is>
          <t>Diciembre</t>
        </is>
      </c>
      <c r="O1" s="1" t="inlineStr">
        <is>
          <t>Agregado</t>
        </is>
      </c>
    </row>
    <row r="2">
      <c r="A2" s="1" t="inlineStr">
        <is>
          <t>Ingresos</t>
        </is>
      </c>
    </row>
    <row r="3">
      <c r="B3" t="inlineStr">
        <is>
          <t>Ventas: implantaciones</t>
        </is>
      </c>
      <c r="C3" s="2" t="n">
        <v>0</v>
      </c>
      <c r="D3" s="2" t="n">
        <v>20000</v>
      </c>
      <c r="E3" s="2" t="n">
        <v>20000</v>
      </c>
      <c r="F3" s="2" t="n">
        <v>0</v>
      </c>
      <c r="G3" s="2" t="n">
        <v>20000</v>
      </c>
      <c r="H3" s="2" t="n">
        <v>20000</v>
      </c>
      <c r="I3" s="2" t="n">
        <v>0</v>
      </c>
      <c r="J3" s="2" t="n">
        <v>20000</v>
      </c>
      <c r="K3" s="2" t="n">
        <v>20000</v>
      </c>
      <c r="L3" s="2" t="n">
        <v>0</v>
      </c>
      <c r="M3" s="2" t="n">
        <v>20000</v>
      </c>
      <c r="N3" s="2" t="n">
        <v>20000</v>
      </c>
      <c r="O3" s="3">
        <f>SUM(C3:N3)</f>
        <v/>
      </c>
    </row>
    <row r="4">
      <c r="B4" t="inlineStr">
        <is>
          <t>Ventas: licencias</t>
        </is>
      </c>
      <c r="C4" s="2" t="n">
        <v>13100</v>
      </c>
      <c r="D4" s="2" t="n">
        <v>13100</v>
      </c>
      <c r="E4" s="2" t="n">
        <v>14737.5</v>
      </c>
      <c r="F4" s="2" t="n">
        <v>14737.5</v>
      </c>
      <c r="G4" s="2" t="n">
        <v>16375</v>
      </c>
      <c r="H4" s="2" t="n">
        <v>18012.5</v>
      </c>
      <c r="I4" s="2" t="n">
        <v>18012.5</v>
      </c>
      <c r="J4" s="2" t="n">
        <v>19650</v>
      </c>
      <c r="K4" s="2" t="n">
        <v>21287.5</v>
      </c>
      <c r="L4" s="2" t="n">
        <v>21287.5</v>
      </c>
      <c r="M4" s="2" t="n">
        <v>22925</v>
      </c>
      <c r="N4" s="2" t="n">
        <v>24562.5</v>
      </c>
      <c r="O4" s="3">
        <f>SUM(C4:N4)</f>
        <v/>
      </c>
    </row>
    <row r="5">
      <c r="A5" t="inlineStr">
        <is>
          <t>Variación de las existencias (±)</t>
        </is>
      </c>
      <c r="C5" s="2" t="n">
        <v>0</v>
      </c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3">
        <f>SUM(C5:N5)</f>
        <v/>
      </c>
    </row>
    <row r="6">
      <c r="A6" s="1" t="inlineStr">
        <is>
          <t>Costes de las ventas</t>
        </is>
      </c>
    </row>
    <row r="7">
      <c r="B7" t="inlineStr">
        <is>
          <t>Compras</t>
        </is>
      </c>
      <c r="C7" s="2" t="n">
        <v>0</v>
      </c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3">
        <f>SUM(C7:N7)</f>
        <v/>
      </c>
    </row>
    <row r="8">
      <c r="B8" t="inlineStr">
        <is>
          <t>Otros costes de las ventas</t>
        </is>
      </c>
      <c r="C8" s="2" t="n">
        <v>0</v>
      </c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3">
        <f>SUM(C8:N8)</f>
        <v/>
      </c>
    </row>
    <row r="10">
      <c r="B10" s="1" t="inlineStr">
        <is>
          <t>Margen (o Utilidad) Bruto {Gross margin}</t>
        </is>
      </c>
      <c r="C10" s="3">
        <f>SUM(C3:C5)-SUM(C7:C8)</f>
        <v/>
      </c>
      <c r="D10" s="3">
        <f>SUM(D3:D5)-SUM(D7:D8)</f>
        <v/>
      </c>
      <c r="E10" s="3">
        <f>SUM(E3:E5)-SUM(E7:E8)</f>
        <v/>
      </c>
      <c r="F10" s="3">
        <f>SUM(F3:F5)-SUM(F7:F8)</f>
        <v/>
      </c>
      <c r="G10" s="3">
        <f>SUM(G3:G5)-SUM(G7:G8)</f>
        <v/>
      </c>
      <c r="H10" s="3">
        <f>SUM(H3:H5)-SUM(H7:H8)</f>
        <v/>
      </c>
      <c r="I10" s="3">
        <f>SUM(I3:I5)-SUM(I7:I8)</f>
        <v/>
      </c>
      <c r="J10" s="3">
        <f>SUM(J3:J5)-SUM(J7:J8)</f>
        <v/>
      </c>
      <c r="K10" s="3">
        <f>SUM(K3:K5)-SUM(K7:K8)</f>
        <v/>
      </c>
      <c r="L10" s="3">
        <f>SUM(L3:L5)-SUM(L7:L8)</f>
        <v/>
      </c>
      <c r="M10" s="3">
        <f>SUM(M3:M5)-SUM(M7:M8)</f>
        <v/>
      </c>
      <c r="N10" s="3">
        <f>SUM(N3:N5)-SUM(N7:N8)</f>
        <v/>
      </c>
      <c r="O10" s="3">
        <f>SUM(O3:O5)-SUM(O7:O8)</f>
        <v/>
      </c>
    </row>
    <row r="12">
      <c r="A12" s="1" t="inlineStr">
        <is>
          <t>Gastos Operativos</t>
        </is>
      </c>
    </row>
    <row r="13">
      <c r="B13" t="inlineStr">
        <is>
          <t>Gastos comerciales (comisión del socio)</t>
        </is>
      </c>
      <c r="C13" s="2" t="n">
        <v>1310</v>
      </c>
      <c r="D13" s="2" t="n">
        <v>1310</v>
      </c>
      <c r="E13" s="2" t="n">
        <v>1473.75</v>
      </c>
      <c r="F13" s="2" t="n">
        <v>1473.75</v>
      </c>
      <c r="G13" s="2" t="n">
        <v>1637.5</v>
      </c>
      <c r="H13" s="2" t="n">
        <v>1801.25</v>
      </c>
      <c r="I13" s="2" t="n">
        <v>1801.25</v>
      </c>
      <c r="J13" s="2" t="n">
        <v>1965</v>
      </c>
      <c r="K13" s="2" t="n">
        <v>2128.75</v>
      </c>
      <c r="L13" s="2" t="n">
        <v>2128.75</v>
      </c>
      <c r="M13" s="2" t="n">
        <v>2292.5</v>
      </c>
      <c r="N13" s="2" t="n">
        <v>2456.25</v>
      </c>
      <c r="O13" s="3">
        <f>SUM(C13:N13)</f>
        <v/>
      </c>
    </row>
    <row r="14">
      <c r="B14" t="inlineStr">
        <is>
          <t>Gastos generales (servicios externos, coworking, herramientas...)</t>
        </is>
      </c>
      <c r="C14" s="2" t="n">
        <v>6300</v>
      </c>
      <c r="D14" s="2" t="n">
        <v>6300</v>
      </c>
      <c r="E14" s="2" t="n">
        <v>6300</v>
      </c>
      <c r="F14" s="2" t="n">
        <v>6300</v>
      </c>
      <c r="G14" s="2" t="n">
        <v>6300</v>
      </c>
      <c r="H14" s="2" t="n">
        <v>6300</v>
      </c>
      <c r="I14" s="2" t="n">
        <v>6300</v>
      </c>
      <c r="J14" s="2" t="n">
        <v>6300</v>
      </c>
      <c r="K14" s="2" t="n">
        <v>6300</v>
      </c>
      <c r="L14" s="2" t="n">
        <v>6300</v>
      </c>
      <c r="M14" s="2" t="n">
        <v>6300</v>
      </c>
      <c r="N14" s="2" t="n">
        <v>6300</v>
      </c>
      <c r="O14" s="3">
        <f>SUM(C14:N14)</f>
        <v/>
      </c>
    </row>
    <row r="15">
      <c r="B15" t="inlineStr">
        <is>
          <t>Gastos administrativos (personal: sueldos brutos)</t>
        </is>
      </c>
      <c r="C15" s="2" t="n">
        <v>13000</v>
      </c>
      <c r="D15" s="2" t="n">
        <v>13000</v>
      </c>
      <c r="E15" s="2" t="n">
        <v>13000</v>
      </c>
      <c r="F15" s="2" t="n">
        <v>13000</v>
      </c>
      <c r="G15" s="2" t="n">
        <v>13000</v>
      </c>
      <c r="H15" s="2" t="n">
        <v>13000</v>
      </c>
      <c r="I15" s="2" t="n">
        <v>13000</v>
      </c>
      <c r="J15" s="2" t="n">
        <v>13000</v>
      </c>
      <c r="K15" s="2" t="n">
        <v>13000</v>
      </c>
      <c r="L15" s="2" t="n">
        <v>13000</v>
      </c>
      <c r="M15" s="2" t="n">
        <v>13000</v>
      </c>
      <c r="N15" s="2" t="n">
        <v>13000</v>
      </c>
      <c r="O15" s="3">
        <f>SUM(C15:N15)</f>
        <v/>
      </c>
    </row>
    <row r="16">
      <c r="B16" t="inlineStr">
        <is>
          <t>Impuestos sobre nómina (Seguridad Social de la empresa)</t>
        </is>
      </c>
      <c r="C16" s="2" t="n">
        <v>3900</v>
      </c>
      <c r="D16" s="2" t="n">
        <v>3900</v>
      </c>
      <c r="E16" s="2" t="n">
        <v>3900</v>
      </c>
      <c r="F16" s="2" t="n">
        <v>3900</v>
      </c>
      <c r="G16" s="2" t="n">
        <v>3900</v>
      </c>
      <c r="H16" s="2" t="n">
        <v>3900</v>
      </c>
      <c r="I16" s="2" t="n">
        <v>3900</v>
      </c>
      <c r="J16" s="2" t="n">
        <v>3900</v>
      </c>
      <c r="K16" s="2" t="n">
        <v>3900</v>
      </c>
      <c r="L16" s="2" t="n">
        <v>3900</v>
      </c>
      <c r="M16" s="2" t="n">
        <v>3900</v>
      </c>
      <c r="N16" s="2" t="n">
        <v>3900</v>
      </c>
      <c r="O16" s="3">
        <f>SUM(C16:N16)</f>
        <v/>
      </c>
    </row>
    <row r="17">
      <c r="B17" t="inlineStr">
        <is>
          <t>Otros costes (imprevistos)</t>
        </is>
      </c>
      <c r="C17" s="2" t="n">
        <v>1225.5</v>
      </c>
      <c r="D17" s="2" t="n">
        <v>1225.5</v>
      </c>
      <c r="E17" s="2" t="n">
        <v>1233.6875</v>
      </c>
      <c r="F17" s="2" t="n">
        <v>1233.6875</v>
      </c>
      <c r="G17" s="2" t="n">
        <v>1241.875</v>
      </c>
      <c r="H17" s="2" t="n">
        <v>1250.0625</v>
      </c>
      <c r="I17" s="2" t="n">
        <v>1250.0625</v>
      </c>
      <c r="J17" s="2" t="n">
        <v>1258.25</v>
      </c>
      <c r="K17" s="2" t="n">
        <v>1266.4375</v>
      </c>
      <c r="L17" s="2" t="n">
        <v>1266.4375</v>
      </c>
      <c r="M17" s="2" t="n">
        <v>1274.625</v>
      </c>
      <c r="N17" s="2" t="n">
        <v>1282.8125</v>
      </c>
      <c r="O17" s="3">
        <f>SUM(C17:N17)</f>
        <v/>
      </c>
    </row>
    <row r="19">
      <c r="B19" s="1" t="inlineStr">
        <is>
          <t>{EBITDA} = Beneficio antes de amortizaciones, intereses e impuestos</t>
        </is>
      </c>
      <c r="C19" s="3">
        <f>C10-SUM(C13:C17)</f>
        <v/>
      </c>
      <c r="D19" s="3">
        <f>D10-SUM(D13:D17)</f>
        <v/>
      </c>
      <c r="E19" s="3">
        <f>E10-SUM(E13:E17)</f>
        <v/>
      </c>
      <c r="F19" s="3">
        <f>F10-SUM(F13:F17)</f>
        <v/>
      </c>
      <c r="G19" s="3">
        <f>G10-SUM(G13:G17)</f>
        <v/>
      </c>
      <c r="H19" s="3">
        <f>H10-SUM(H13:H17)</f>
        <v/>
      </c>
      <c r="I19" s="3">
        <f>I10-SUM(I13:I17)</f>
        <v/>
      </c>
      <c r="J19" s="3">
        <f>J10-SUM(J13:J17)</f>
        <v/>
      </c>
      <c r="K19" s="3">
        <f>K10-SUM(K13:K17)</f>
        <v/>
      </c>
      <c r="L19" s="3">
        <f>L10-SUM(L13:L17)</f>
        <v/>
      </c>
      <c r="M19" s="3">
        <f>M10-SUM(M13:M17)</f>
        <v/>
      </c>
      <c r="N19" s="3">
        <f>N10-SUM(N13:N17)</f>
        <v/>
      </c>
      <c r="O19" s="3">
        <f>O10-SUM(O13:O17)</f>
        <v/>
      </c>
    </row>
    <row r="21">
      <c r="B21" t="inlineStr">
        <is>
          <t>Amortizaciones del inmovilizado</t>
        </is>
      </c>
      <c r="C21" s="2" t="n">
        <v>345.8333333333337</v>
      </c>
      <c r="D21" s="2" t="n">
        <v>345.8333333333333</v>
      </c>
      <c r="E21" s="2" t="n">
        <v>345.8333333333333</v>
      </c>
      <c r="F21" s="2" t="n">
        <v>345.8333333333335</v>
      </c>
      <c r="G21" s="2" t="n">
        <v>345.8333333333332</v>
      </c>
      <c r="H21" s="2" t="n">
        <v>345.8333333333334</v>
      </c>
      <c r="I21" s="2" t="n">
        <v>345.8333333333336</v>
      </c>
      <c r="J21" s="2" t="n">
        <v>345.8333333333331</v>
      </c>
      <c r="K21" s="2" t="n">
        <v>345.8333333333333</v>
      </c>
      <c r="L21" s="2" t="n">
        <v>345.8333333333336</v>
      </c>
      <c r="M21" s="2" t="n">
        <v>345.8333333333331</v>
      </c>
      <c r="N21" s="2" t="n">
        <v>345.8333333333333</v>
      </c>
      <c r="O21" s="3">
        <f>SUM(C21:N21)</f>
        <v/>
      </c>
    </row>
    <row r="23">
      <c r="B23" s="1" t="inlineStr">
        <is>
          <t>BAII = Beneficio antes de intereses e impuestos {EBIT}</t>
        </is>
      </c>
      <c r="C23" s="3">
        <f>C19-C21</f>
        <v/>
      </c>
      <c r="D23" s="3">
        <f>D19-D21</f>
        <v/>
      </c>
      <c r="E23" s="3">
        <f>E19-E21</f>
        <v/>
      </c>
      <c r="F23" s="3">
        <f>F19-F21</f>
        <v/>
      </c>
      <c r="G23" s="3">
        <f>G19-G21</f>
        <v/>
      </c>
      <c r="H23" s="3">
        <f>H19-H21</f>
        <v/>
      </c>
      <c r="I23" s="3">
        <f>I19-I21</f>
        <v/>
      </c>
      <c r="J23" s="3">
        <f>J19-J21</f>
        <v/>
      </c>
      <c r="K23" s="3">
        <f>K19-K21</f>
        <v/>
      </c>
      <c r="L23" s="3">
        <f>L19-L21</f>
        <v/>
      </c>
      <c r="M23" s="3">
        <f>M19-M21</f>
        <v/>
      </c>
      <c r="N23" s="3">
        <f>N19-N21</f>
        <v/>
      </c>
      <c r="O23" s="3">
        <f>O19-O21</f>
        <v/>
      </c>
    </row>
    <row r="25">
      <c r="A25" s="1" t="inlineStr">
        <is>
          <t>Gastos financieros</t>
        </is>
      </c>
    </row>
    <row r="26">
      <c r="B26" t="inlineStr">
        <is>
          <t>Intereses y comisiones de los préstamos</t>
        </is>
      </c>
      <c r="C26" s="2" t="n">
        <v>256.2499999999999</v>
      </c>
      <c r="D26" s="2" t="n">
        <v>253.9930555555555</v>
      </c>
      <c r="E26" s="2" t="n">
        <v>251.7361111111111</v>
      </c>
      <c r="F26" s="2" t="n">
        <v>249.4791666666666</v>
      </c>
      <c r="G26" s="2" t="n">
        <v>247.2222222222222</v>
      </c>
      <c r="H26" s="2" t="n">
        <v>244.9652777777778</v>
      </c>
      <c r="I26" s="2" t="n">
        <v>242.7083333333333</v>
      </c>
      <c r="J26" s="2" t="n">
        <v>240.4513888888889</v>
      </c>
      <c r="K26" s="2" t="n">
        <v>238.1944444444444</v>
      </c>
      <c r="L26" s="2" t="n">
        <v>227.1875</v>
      </c>
      <c r="M26" s="2" t="n">
        <v>224.9305555555555</v>
      </c>
      <c r="N26" s="2" t="n">
        <v>222.6736111111111</v>
      </c>
      <c r="O26" s="3">
        <f>SUM(C26:N26)</f>
        <v/>
      </c>
    </row>
    <row r="28">
      <c r="B28" s="1" t="inlineStr">
        <is>
          <t>BAI = Beneficios antes de impuestos {EBT}</t>
        </is>
      </c>
      <c r="C28" s="3">
        <f>C23-C26</f>
        <v/>
      </c>
      <c r="D28" s="3">
        <f>D23-D26</f>
        <v/>
      </c>
      <c r="E28" s="3">
        <f>E23-E26</f>
        <v/>
      </c>
      <c r="F28" s="3">
        <f>F23-F26</f>
        <v/>
      </c>
      <c r="G28" s="3">
        <f>G23-G26</f>
        <v/>
      </c>
      <c r="H28" s="3">
        <f>H23-H26</f>
        <v/>
      </c>
      <c r="I28" s="3">
        <f>I23-I26</f>
        <v/>
      </c>
      <c r="J28" s="3">
        <f>J23-J26</f>
        <v/>
      </c>
      <c r="K28" s="3">
        <f>K23-K26</f>
        <v/>
      </c>
      <c r="L28" s="3">
        <f>L23-L26</f>
        <v/>
      </c>
      <c r="M28" s="3">
        <f>M23-M26</f>
        <v/>
      </c>
      <c r="N28" s="3">
        <f>N23-N26</f>
        <v/>
      </c>
      <c r="O28" s="3">
        <f>O23-O26</f>
        <v/>
      </c>
    </row>
    <row r="30">
      <c r="B30" t="inlineStr">
        <is>
          <t>Impuesto de sociedades (25 %, con las bases negativas compensadas)</t>
        </is>
      </c>
      <c r="C30" s="2" t="n">
        <v>0</v>
      </c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3">
        <f>SUM(C30:N30)</f>
        <v/>
      </c>
    </row>
    <row r="32">
      <c r="B32" s="1" t="inlineStr">
        <is>
          <t>BDI = Beneficios después de impuestos {Net profit}</t>
        </is>
      </c>
      <c r="C32" s="3">
        <f>C28-C30</f>
        <v/>
      </c>
      <c r="D32" s="3">
        <f>D28-D30</f>
        <v/>
      </c>
      <c r="E32" s="3">
        <f>E28-E30</f>
        <v/>
      </c>
      <c r="F32" s="3">
        <f>F28-F30</f>
        <v/>
      </c>
      <c r="G32" s="3">
        <f>G28-G30</f>
        <v/>
      </c>
      <c r="H32" s="3">
        <f>H28-H30</f>
        <v/>
      </c>
      <c r="I32" s="3">
        <f>I28-I30</f>
        <v/>
      </c>
      <c r="J32" s="3">
        <f>J28-J30</f>
        <v/>
      </c>
      <c r="K32" s="3">
        <f>K28-K30</f>
        <v/>
      </c>
      <c r="L32" s="3">
        <f>L28-L30</f>
        <v/>
      </c>
      <c r="M32" s="3">
        <f>M28-M30</f>
        <v/>
      </c>
      <c r="N32" s="3">
        <f>N28-N30</f>
        <v/>
      </c>
      <c r="O32" s="3">
        <f>O28-O30</f>
        <v/>
      </c>
    </row>
    <row r="35">
      <c r="A35" s="1" t="inlineStr">
        <is>
          <t>Pro Memoria</t>
        </is>
      </c>
    </row>
    <row r="36">
      <c r="B36" s="1" t="inlineStr">
        <is>
          <t>Gross Cash Flow (BAI + amortizaciones)</t>
        </is>
      </c>
      <c r="C36" s="3">
        <f>C28+C21</f>
        <v/>
      </c>
      <c r="D36" s="3">
        <f>D28+D21</f>
        <v/>
      </c>
      <c r="E36" s="3">
        <f>E28+E21</f>
        <v/>
      </c>
      <c r="F36" s="3">
        <f>F28+F21</f>
        <v/>
      </c>
      <c r="G36" s="3">
        <f>G28+G21</f>
        <v/>
      </c>
      <c r="H36" s="3">
        <f>H28+H21</f>
        <v/>
      </c>
      <c r="I36" s="3">
        <f>I28+I21</f>
        <v/>
      </c>
      <c r="J36" s="3">
        <f>J28+J21</f>
        <v/>
      </c>
      <c r="K36" s="3">
        <f>K28+K21</f>
        <v/>
      </c>
      <c r="L36" s="3">
        <f>L28+L21</f>
        <v/>
      </c>
      <c r="M36" s="3">
        <f>M28+M21</f>
        <v/>
      </c>
      <c r="N36" s="3">
        <f>N28+N21</f>
        <v/>
      </c>
      <c r="O36" s="3">
        <f>O28+O21</f>
        <v/>
      </c>
    </row>
    <row r="37">
      <c r="B37" s="1" t="inlineStr">
        <is>
          <t>Net Cash Flow (BDI + amortizaciones)</t>
        </is>
      </c>
      <c r="C37" s="3">
        <f>C32+C21</f>
        <v/>
      </c>
      <c r="D37" s="3">
        <f>D32+D21</f>
        <v/>
      </c>
      <c r="E37" s="3">
        <f>E32+E21</f>
        <v/>
      </c>
      <c r="F37" s="3">
        <f>F32+F21</f>
        <v/>
      </c>
      <c r="G37" s="3">
        <f>G32+G21</f>
        <v/>
      </c>
      <c r="H37" s="3">
        <f>H32+H21</f>
        <v/>
      </c>
      <c r="I37" s="3">
        <f>I32+I21</f>
        <v/>
      </c>
      <c r="J37" s="3">
        <f>J32+J21</f>
        <v/>
      </c>
      <c r="K37" s="3">
        <f>K32+K21</f>
        <v/>
      </c>
      <c r="L37" s="3">
        <f>L32+L21</f>
        <v/>
      </c>
      <c r="M37" s="3">
        <f>M32+M21</f>
        <v/>
      </c>
      <c r="N37" s="3">
        <f>N32+N21</f>
        <v/>
      </c>
      <c r="O37" s="3">
        <f>O32+O21</f>
        <v/>
      </c>
    </row>
    <row r="39">
      <c r="B39" t="inlineStr">
        <is>
          <t>El impuesto de sociedades se devenga en el cierre de cada año (mes 12), con las bases negativas de años anteriores compensadas.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MESES</t>
        </is>
      </c>
      <c r="B1" s="1" t="n">
        <v>1</v>
      </c>
      <c r="C1" s="1" t="n">
        <v>2</v>
      </c>
      <c r="D1" s="1" t="n">
        <v>3</v>
      </c>
      <c r="E1" s="1" t="n">
        <v>4</v>
      </c>
      <c r="F1" s="1" t="n">
        <v>5</v>
      </c>
      <c r="G1" s="1" t="n">
        <v>6</v>
      </c>
      <c r="H1" s="1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</row>
    <row r="2">
      <c r="A2" s="1" t="inlineStr">
        <is>
          <t>SALDO INICIAL DE TESORERÍA</t>
        </is>
      </c>
      <c r="B2" s="2" t="n">
        <v>44500</v>
      </c>
      <c r="C2" s="3">
        <f>B32</f>
        <v/>
      </c>
      <c r="D2" s="3">
        <f>C32</f>
        <v/>
      </c>
      <c r="E2" s="3">
        <f>D32</f>
        <v/>
      </c>
      <c r="F2" s="3">
        <f>E32</f>
        <v/>
      </c>
      <c r="G2" s="3">
        <f>F32</f>
        <v/>
      </c>
      <c r="H2" s="3">
        <f>G32</f>
        <v/>
      </c>
      <c r="I2" s="3">
        <f>H32</f>
        <v/>
      </c>
      <c r="J2" s="3">
        <f>I32</f>
        <v/>
      </c>
      <c r="K2" s="3">
        <f>J32</f>
        <v/>
      </c>
      <c r="L2" s="3">
        <f>K32</f>
        <v/>
      </c>
      <c r="M2" s="3">
        <f>L32</f>
        <v/>
      </c>
    </row>
    <row r="4">
      <c r="A4" t="inlineStr">
        <is>
          <t>Cobros por ventas (con IVA)</t>
        </is>
      </c>
      <c r="B4" s="2" t="n">
        <v>0</v>
      </c>
      <c r="C4" s="2" t="n">
        <v>0</v>
      </c>
      <c r="D4" s="2" t="n">
        <v>0</v>
      </c>
      <c r="E4" s="2" t="n">
        <v>0</v>
      </c>
      <c r="F4" s="2" t="n">
        <v>12100</v>
      </c>
      <c r="G4" s="2" t="n">
        <v>35876.5</v>
      </c>
      <c r="H4" s="2" t="n">
        <v>12100</v>
      </c>
      <c r="I4" s="2" t="n">
        <v>35876.5</v>
      </c>
      <c r="J4" s="2" t="n">
        <v>12100</v>
      </c>
      <c r="K4" s="2" t="n">
        <v>35876.5</v>
      </c>
      <c r="L4" s="2" t="n">
        <v>0</v>
      </c>
      <c r="M4" s="2" t="n">
        <v>0</v>
      </c>
    </row>
    <row r="5">
      <c r="A5" t="inlineStr">
        <is>
          <t>Otros cobros</t>
        </is>
      </c>
      <c r="B5" s="2" t="n">
        <v>0</v>
      </c>
      <c r="C5" s="2" t="n">
        <v>0</v>
      </c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</row>
    <row r="6">
      <c r="A6" t="inlineStr">
        <is>
          <t>Devolución IVA</t>
        </is>
      </c>
      <c r="B6" s="2" t="n">
        <v>0</v>
      </c>
      <c r="C6" s="2" t="n">
        <v>0</v>
      </c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</row>
    <row r="7">
      <c r="A7" t="inlineStr">
        <is>
          <t>Ampliaciones de Capital</t>
        </is>
      </c>
      <c r="B7" s="2" t="n">
        <v>0</v>
      </c>
      <c r="C7" s="2" t="n">
        <v>0</v>
      </c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250000</v>
      </c>
    </row>
    <row r="8">
      <c r="A8" t="inlineStr">
        <is>
          <t>Préstamos</t>
        </is>
      </c>
      <c r="B8" s="2" t="n">
        <v>0</v>
      </c>
      <c r="C8" s="2" t="n">
        <v>0</v>
      </c>
      <c r="D8" s="2" t="n">
        <v>0</v>
      </c>
      <c r="E8" s="2" t="n">
        <v>0</v>
      </c>
      <c r="F8" s="2" t="n">
        <v>0</v>
      </c>
      <c r="G8" s="2" t="n">
        <v>35000</v>
      </c>
      <c r="H8" s="2" t="n">
        <v>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</row>
    <row r="9">
      <c r="A9" t="inlineStr">
        <is>
          <t>Desinversiones</t>
        </is>
      </c>
      <c r="B9" s="2" t="n">
        <v>0</v>
      </c>
      <c r="C9" s="2" t="n">
        <v>0</v>
      </c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</row>
    <row r="10">
      <c r="A10" t="inlineStr">
        <is>
          <t>Otros cobros</t>
        </is>
      </c>
      <c r="B10" s="2" t="n">
        <v>0</v>
      </c>
      <c r="C10" s="2" t="n">
        <v>0</v>
      </c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</row>
    <row r="12">
      <c r="A12" s="1" t="inlineStr">
        <is>
          <t>TOTAL COBROS</t>
        </is>
      </c>
      <c r="B12" s="3">
        <f>SUM(B4:B10)</f>
        <v/>
      </c>
      <c r="C12" s="3">
        <f>SUM(C4:C10)</f>
        <v/>
      </c>
      <c r="D12" s="3">
        <f>SUM(D4:D10)</f>
        <v/>
      </c>
      <c r="E12" s="3">
        <f>SUM(E4:E10)</f>
        <v/>
      </c>
      <c r="F12" s="3">
        <f>SUM(F4:F10)</f>
        <v/>
      </c>
      <c r="G12" s="3">
        <f>SUM(G4:G10)</f>
        <v/>
      </c>
      <c r="H12" s="3">
        <f>SUM(H4:H10)</f>
        <v/>
      </c>
      <c r="I12" s="3">
        <f>SUM(I4:I10)</f>
        <v/>
      </c>
      <c r="J12" s="3">
        <f>SUM(J4:J10)</f>
        <v/>
      </c>
      <c r="K12" s="3">
        <f>SUM(K4:K10)</f>
        <v/>
      </c>
      <c r="L12" s="3">
        <f>SUM(L4:L10)</f>
        <v/>
      </c>
      <c r="M12" s="3">
        <f>SUM(M4:M10)</f>
        <v/>
      </c>
    </row>
    <row r="14">
      <c r="A14" s="1" t="inlineStr">
        <is>
          <t>Pagos de explotación</t>
        </is>
      </c>
    </row>
    <row r="15">
      <c r="A15" t="inlineStr">
        <is>
          <t>Materiales</t>
        </is>
      </c>
      <c r="B15" s="2" t="n">
        <v>0</v>
      </c>
      <c r="C15" s="2" t="n">
        <v>0</v>
      </c>
      <c r="D15" s="2" t="n">
        <v>0</v>
      </c>
      <c r="E15" s="2" t="n">
        <v>0</v>
      </c>
      <c r="F15" s="2" t="n">
        <v>0</v>
      </c>
      <c r="G15" s="2" t="n">
        <v>0</v>
      </c>
      <c r="H15" s="2" t="n">
        <v>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</row>
    <row r="16">
      <c r="A16" t="inlineStr">
        <is>
          <t>Fabricación</t>
        </is>
      </c>
      <c r="B16" s="2" t="n">
        <v>0</v>
      </c>
      <c r="C16" s="2" t="n">
        <v>0</v>
      </c>
      <c r="D16" s="2" t="n">
        <v>0</v>
      </c>
      <c r="E16" s="2" t="n">
        <v>0</v>
      </c>
      <c r="F16" s="2" t="n">
        <v>0</v>
      </c>
      <c r="G16" s="2" t="n">
        <v>0</v>
      </c>
      <c r="H16" s="2" t="n">
        <v>0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</row>
    <row r="17">
      <c r="A17" t="inlineStr">
        <is>
          <t>Compras y servicios externos (con IVA)</t>
        </is>
      </c>
      <c r="B17" s="2" t="n">
        <v>3577.2375</v>
      </c>
      <c r="C17" s="2" t="n">
        <v>3577.2375</v>
      </c>
      <c r="D17" s="2" t="n">
        <v>3577.2375</v>
      </c>
      <c r="E17" s="2" t="n">
        <v>3577.2375</v>
      </c>
      <c r="F17" s="2" t="n">
        <v>3577.2375</v>
      </c>
      <c r="G17" s="2" t="n">
        <v>3872.175</v>
      </c>
      <c r="H17" s="2" t="n">
        <v>3872.175</v>
      </c>
      <c r="I17" s="2" t="n">
        <v>3872.175</v>
      </c>
      <c r="J17" s="2" t="n">
        <v>3872.175</v>
      </c>
      <c r="K17" s="2" t="n">
        <v>3872.175</v>
      </c>
      <c r="L17" s="2" t="n">
        <v>3872.175</v>
      </c>
      <c r="M17" s="2" t="n">
        <v>3872.175</v>
      </c>
    </row>
    <row r="18">
      <c r="A18" t="inlineStr">
        <is>
          <t>Nóminas.Salario Neto</t>
        </is>
      </c>
      <c r="B18" s="2" t="n">
        <v>2831.25</v>
      </c>
      <c r="C18" s="2" t="n">
        <v>2831.25</v>
      </c>
      <c r="D18" s="2" t="n">
        <v>2831.25</v>
      </c>
      <c r="E18" s="2" t="n">
        <v>2831.25</v>
      </c>
      <c r="F18" s="2" t="n">
        <v>2831.25</v>
      </c>
      <c r="G18" s="2" t="n">
        <v>5662.500000000001</v>
      </c>
      <c r="H18" s="2" t="n">
        <v>5662.500000000001</v>
      </c>
      <c r="I18" s="2" t="n">
        <v>5662.500000000001</v>
      </c>
      <c r="J18" s="2" t="n">
        <v>5662.500000000001</v>
      </c>
      <c r="K18" s="2" t="n">
        <v>5662.500000000001</v>
      </c>
      <c r="L18" s="2" t="n">
        <v>5662.500000000001</v>
      </c>
      <c r="M18" s="2" t="n">
        <v>5662.500000000001</v>
      </c>
    </row>
    <row r="19">
      <c r="A19" t="inlineStr">
        <is>
          <t>Nóminas.Seguridad Social (obrera y patronal)</t>
        </is>
      </c>
      <c r="B19" s="2" t="n">
        <v>0</v>
      </c>
      <c r="C19" s="2" t="n">
        <v>1368.75</v>
      </c>
      <c r="D19" s="2" t="n">
        <v>1368.75</v>
      </c>
      <c r="E19" s="2" t="n">
        <v>1368.75</v>
      </c>
      <c r="F19" s="2" t="n">
        <v>1368.75</v>
      </c>
      <c r="G19" s="2" t="n">
        <v>1368.75</v>
      </c>
      <c r="H19" s="2" t="n">
        <v>2737.5</v>
      </c>
      <c r="I19" s="2" t="n">
        <v>2737.5</v>
      </c>
      <c r="J19" s="2" t="n">
        <v>2737.5</v>
      </c>
      <c r="K19" s="2" t="n">
        <v>2737.5</v>
      </c>
      <c r="L19" s="2" t="n">
        <v>2737.5</v>
      </c>
      <c r="M19" s="2" t="n">
        <v>2737.5</v>
      </c>
    </row>
    <row r="21">
      <c r="A21" t="inlineStr">
        <is>
          <t>Nóminas.Liquidación IRPF</t>
        </is>
      </c>
      <c r="B21" s="2" t="n">
        <v>0</v>
      </c>
      <c r="C21" s="2" t="n">
        <v>0</v>
      </c>
      <c r="D21" s="2" t="n">
        <v>0</v>
      </c>
      <c r="E21" s="2" t="n">
        <v>2025</v>
      </c>
      <c r="F21" s="2" t="n">
        <v>0</v>
      </c>
      <c r="G21" s="2" t="n">
        <v>0</v>
      </c>
      <c r="H21" s="2" t="n">
        <v>2700</v>
      </c>
      <c r="I21" s="2" t="n">
        <v>0</v>
      </c>
      <c r="J21" s="2" t="n">
        <v>0</v>
      </c>
      <c r="K21" s="2" t="n">
        <v>4050</v>
      </c>
      <c r="L21" s="2" t="n">
        <v>0</v>
      </c>
      <c r="M21" s="2" t="n">
        <v>0</v>
      </c>
    </row>
    <row r="22">
      <c r="A22" t="inlineStr">
        <is>
          <t>Impuestos.Liquidación IVA</t>
        </is>
      </c>
      <c r="B22" s="2" t="n">
        <v>0</v>
      </c>
      <c r="C22" s="2" t="n">
        <v>0</v>
      </c>
      <c r="D22" s="2" t="n">
        <v>0</v>
      </c>
      <c r="E22" s="2" t="n">
        <v>0</v>
      </c>
      <c r="F22" s="2" t="n">
        <v>0</v>
      </c>
      <c r="G22" s="2" t="n">
        <v>0</v>
      </c>
      <c r="H22" s="2" t="n">
        <v>6754.3875</v>
      </c>
      <c r="I22" s="2" t="n">
        <v>0</v>
      </c>
      <c r="J22" s="2" t="n">
        <v>0</v>
      </c>
      <c r="K22" s="2" t="n">
        <v>12588.975</v>
      </c>
      <c r="L22" s="2" t="n">
        <v>0</v>
      </c>
      <c r="M22" s="2" t="n">
        <v>0</v>
      </c>
    </row>
    <row r="23">
      <c r="A23" t="inlineStr">
        <is>
          <t>Impuestos.Impuesto de sociedades</t>
        </is>
      </c>
      <c r="B23" s="2" t="n">
        <v>0</v>
      </c>
      <c r="C23" s="2" t="n">
        <v>0</v>
      </c>
      <c r="D23" s="2" t="n">
        <v>0</v>
      </c>
      <c r="E23" s="2" t="n">
        <v>0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</row>
    <row r="24">
      <c r="A24" s="1" t="inlineStr">
        <is>
          <t>Otros pagos</t>
        </is>
      </c>
    </row>
    <row r="25">
      <c r="A25" t="inlineStr">
        <is>
          <t>Dividendos</t>
        </is>
      </c>
      <c r="B25" s="2" t="n">
        <v>0</v>
      </c>
      <c r="C25" s="2" t="n">
        <v>0</v>
      </c>
      <c r="D25" s="2" t="n">
        <v>0</v>
      </c>
      <c r="E25" s="2" t="n">
        <v>0</v>
      </c>
      <c r="F25" s="2" t="n">
        <v>0</v>
      </c>
      <c r="G25" s="2" t="n">
        <v>0</v>
      </c>
      <c r="H25" s="2" t="n">
        <v>0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</row>
    <row r="26">
      <c r="A26" t="inlineStr">
        <is>
          <t>Devolución préstamos</t>
        </is>
      </c>
      <c r="B26" s="2" t="n">
        <v>0</v>
      </c>
      <c r="C26" s="2" t="n">
        <v>0</v>
      </c>
      <c r="D26" s="2" t="n">
        <v>0</v>
      </c>
      <c r="E26" s="2" t="n">
        <v>0</v>
      </c>
      <c r="F26" s="2" t="n">
        <v>0</v>
      </c>
      <c r="G26" s="2" t="n">
        <v>0</v>
      </c>
      <c r="H26" s="2" t="n">
        <v>0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</row>
    <row r="27">
      <c r="A27" t="inlineStr">
        <is>
          <t>Intereses de préstamos</t>
        </is>
      </c>
      <c r="B27" s="2" t="n">
        <v>108.3333333333333</v>
      </c>
      <c r="C27" s="2" t="n">
        <v>108.3333333333333</v>
      </c>
      <c r="D27" s="2" t="n">
        <v>108.3333333333333</v>
      </c>
      <c r="E27" s="2" t="n">
        <v>108.3333333333333</v>
      </c>
      <c r="F27" s="2" t="n">
        <v>108.3333333333333</v>
      </c>
      <c r="G27" s="2" t="n">
        <v>283.3333333333333</v>
      </c>
      <c r="H27" s="2" t="n">
        <v>108.3333333333333</v>
      </c>
      <c r="I27" s="2" t="n">
        <v>108.3333333333333</v>
      </c>
      <c r="J27" s="2" t="n">
        <v>633.3333333333334</v>
      </c>
      <c r="K27" s="2" t="n">
        <v>108.3333333333333</v>
      </c>
      <c r="L27" s="2" t="n">
        <v>108.3333333333333</v>
      </c>
      <c r="M27" s="2" t="n">
        <v>633.3333333333334</v>
      </c>
    </row>
    <row r="28">
      <c r="A28" t="inlineStr">
        <is>
          <t>Inversiones (con IVA)</t>
        </is>
      </c>
      <c r="B28" s="2" t="n">
        <v>0</v>
      </c>
      <c r="C28" s="2" t="n">
        <v>0</v>
      </c>
      <c r="D28" s="2" t="n">
        <v>0</v>
      </c>
      <c r="E28" s="2" t="n">
        <v>0</v>
      </c>
      <c r="F28" s="2" t="n">
        <v>0</v>
      </c>
      <c r="G28" s="2" t="n">
        <v>0</v>
      </c>
      <c r="H28" s="2" t="n">
        <v>0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</row>
    <row r="29">
      <c r="A29" t="inlineStr">
        <is>
          <t>Otros pagos (gastos de la ronda)</t>
        </is>
      </c>
      <c r="B29" s="2" t="n">
        <v>0</v>
      </c>
      <c r="C29" s="2" t="n">
        <v>0</v>
      </c>
      <c r="D29" s="2" t="n">
        <v>0</v>
      </c>
      <c r="E29" s="2" t="n">
        <v>0</v>
      </c>
      <c r="F29" s="2" t="n">
        <v>0</v>
      </c>
      <c r="G29" s="2" t="n">
        <v>0</v>
      </c>
      <c r="H29" s="2" t="n">
        <v>0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3630</v>
      </c>
    </row>
    <row r="30">
      <c r="A30" s="1" t="inlineStr">
        <is>
          <t>TOTAL PAGOS</t>
        </is>
      </c>
      <c r="B30" s="3">
        <f>SUM(B15:B29)</f>
        <v/>
      </c>
      <c r="C30" s="3">
        <f>SUM(C15:C29)</f>
        <v/>
      </c>
      <c r="D30" s="3">
        <f>SUM(D15:D29)</f>
        <v/>
      </c>
      <c r="E30" s="3">
        <f>SUM(E15:E29)</f>
        <v/>
      </c>
      <c r="F30" s="3">
        <f>SUM(F15:F29)</f>
        <v/>
      </c>
      <c r="G30" s="3">
        <f>SUM(G15:G29)</f>
        <v/>
      </c>
      <c r="H30" s="3">
        <f>SUM(H15:H29)</f>
        <v/>
      </c>
      <c r="I30" s="3">
        <f>SUM(I15:I29)</f>
        <v/>
      </c>
      <c r="J30" s="3">
        <f>SUM(J15:J29)</f>
        <v/>
      </c>
      <c r="K30" s="3">
        <f>SUM(K15:K29)</f>
        <v/>
      </c>
      <c r="L30" s="3">
        <f>SUM(L15:L29)</f>
        <v/>
      </c>
      <c r="M30" s="3">
        <f>SUM(M15:M29)</f>
        <v/>
      </c>
    </row>
    <row r="32">
      <c r="A32" s="1" t="inlineStr">
        <is>
          <t>SALDO FINAL DE TESORERÍA</t>
        </is>
      </c>
      <c r="B32" s="3">
        <f>B2+B12-B30</f>
        <v/>
      </c>
      <c r="C32" s="3">
        <f>C2+C12-C30</f>
        <v/>
      </c>
      <c r="D32" s="3">
        <f>D2+D12-D30</f>
        <v/>
      </c>
      <c r="E32" s="3">
        <f>E2+E12-E30</f>
        <v/>
      </c>
      <c r="F32" s="3">
        <f>F2+F12-F30</f>
        <v/>
      </c>
      <c r="G32" s="3">
        <f>G2+G12-G30</f>
        <v/>
      </c>
      <c r="H32" s="3">
        <f>H2+H12-H30</f>
        <v/>
      </c>
      <c r="I32" s="3">
        <f>I2+I12-I30</f>
        <v/>
      </c>
      <c r="J32" s="3">
        <f>J2+J12-J30</f>
        <v/>
      </c>
      <c r="K32" s="3">
        <f>K2+K12-K30</f>
        <v/>
      </c>
      <c r="L32" s="3">
        <f>L2+L12-L30</f>
        <v/>
      </c>
      <c r="M32" s="3">
        <f>M2+M12-M30</f>
        <v/>
      </c>
    </row>
    <row r="34">
      <c r="A34" t="inlineStr">
        <is>
          <t>Saldo final según el modelo (tiene que ser igual)</t>
        </is>
      </c>
      <c r="B34" s="2" t="n">
        <v>37983.17916666667</v>
      </c>
      <c r="C34" s="2" t="n">
        <v>30097.60833333334</v>
      </c>
      <c r="D34" s="2" t="n">
        <v>22212.03750000001</v>
      </c>
      <c r="E34" s="2" t="n">
        <v>12301.46666666667</v>
      </c>
      <c r="F34" s="2" t="n">
        <v>16515.89583333334</v>
      </c>
      <c r="G34" s="2" t="n">
        <v>76205.63750000001</v>
      </c>
      <c r="H34" s="2" t="n">
        <v>66470.74166666668</v>
      </c>
      <c r="I34" s="2" t="n">
        <v>89966.73333333335</v>
      </c>
      <c r="J34" s="2" t="n">
        <v>89161.22500000002</v>
      </c>
      <c r="K34" s="2" t="n">
        <v>96018.24166666668</v>
      </c>
      <c r="L34" s="2" t="n">
        <v>83637.73333333335</v>
      </c>
      <c r="M34" s="2" t="n">
        <v>317102.225</v>
      </c>
    </row>
    <row r="36">
      <c r="A36" t="inlineStr">
        <is>
          <t>El saldo inicial de enero es el saldo final del año anterior (o la tesorería del balance del momento 0); el saldo final del mes 12 es la tesorería del balance del año. El IVA se liquida a trimestre vencido y el impuesto de sociedades en el mes de pago del año siguiente.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MESES</t>
        </is>
      </c>
      <c r="B1" s="1" t="n">
        <v>13</v>
      </c>
      <c r="C1" s="1" t="n">
        <v>14</v>
      </c>
      <c r="D1" s="1" t="n">
        <v>15</v>
      </c>
      <c r="E1" s="1" t="n">
        <v>16</v>
      </c>
      <c r="F1" s="1" t="n">
        <v>17</v>
      </c>
      <c r="G1" s="1" t="n">
        <v>18</v>
      </c>
      <c r="H1" s="1" t="n">
        <v>19</v>
      </c>
      <c r="I1" s="1" t="n">
        <v>20</v>
      </c>
      <c r="J1" s="1" t="n">
        <v>21</v>
      </c>
      <c r="K1" s="1" t="n">
        <v>22</v>
      </c>
      <c r="L1" s="1" t="n">
        <v>23</v>
      </c>
      <c r="M1" s="1" t="n">
        <v>24</v>
      </c>
    </row>
    <row r="2">
      <c r="A2" s="1" t="inlineStr">
        <is>
          <t>SALDO INICIAL DE TESORERÍA</t>
        </is>
      </c>
      <c r="B2" s="2" t="n">
        <v>317102.225</v>
      </c>
      <c r="C2" s="3">
        <f>B32</f>
        <v/>
      </c>
      <c r="D2" s="3">
        <f>C32</f>
        <v/>
      </c>
      <c r="E2" s="3">
        <f>D32</f>
        <v/>
      </c>
      <c r="F2" s="3">
        <f>E32</f>
        <v/>
      </c>
      <c r="G2" s="3">
        <f>F32</f>
        <v/>
      </c>
      <c r="H2" s="3">
        <f>G32</f>
        <v/>
      </c>
      <c r="I2" s="3">
        <f>H32</f>
        <v/>
      </c>
      <c r="J2" s="3">
        <f>I32</f>
        <v/>
      </c>
      <c r="K2" s="3">
        <f>J32</f>
        <v/>
      </c>
      <c r="L2" s="3">
        <f>K32</f>
        <v/>
      </c>
      <c r="M2" s="3">
        <f>L32</f>
        <v/>
      </c>
    </row>
    <row r="4">
      <c r="A4" t="inlineStr">
        <is>
          <t>Cobros por ventas (con IVA)</t>
        </is>
      </c>
      <c r="B4" s="2" t="n">
        <v>0</v>
      </c>
      <c r="C4" s="2" t="n">
        <v>12100</v>
      </c>
      <c r="D4" s="2" t="n">
        <v>35876.5</v>
      </c>
      <c r="E4" s="2" t="n">
        <v>12100</v>
      </c>
      <c r="F4" s="2" t="n">
        <v>35876.5</v>
      </c>
      <c r="G4" s="2" t="n">
        <v>35876.5</v>
      </c>
      <c r="H4" s="2" t="n">
        <v>35876.5</v>
      </c>
      <c r="I4" s="2" t="n">
        <v>35876.5</v>
      </c>
      <c r="J4" s="2" t="n">
        <v>35876.5</v>
      </c>
      <c r="K4" s="2" t="n">
        <v>12100</v>
      </c>
      <c r="L4" s="2" t="n">
        <v>35876.5</v>
      </c>
      <c r="M4" s="2" t="n">
        <v>12100</v>
      </c>
    </row>
    <row r="5">
      <c r="A5" t="inlineStr">
        <is>
          <t>Otros cobros</t>
        </is>
      </c>
      <c r="B5" s="2" t="n">
        <v>0</v>
      </c>
      <c r="C5" s="2" t="n">
        <v>0</v>
      </c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</row>
    <row r="6">
      <c r="A6" t="inlineStr">
        <is>
          <t>Devolución IVA</t>
        </is>
      </c>
      <c r="B6" s="2" t="n">
        <v>0</v>
      </c>
      <c r="C6" s="2" t="n">
        <v>0</v>
      </c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</row>
    <row r="7">
      <c r="A7" t="inlineStr">
        <is>
          <t>Ampliaciones de Capital</t>
        </is>
      </c>
      <c r="B7" s="2" t="n">
        <v>0</v>
      </c>
      <c r="C7" s="2" t="n">
        <v>0</v>
      </c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</row>
    <row r="8">
      <c r="A8" t="inlineStr">
        <is>
          <t>Préstamos</t>
        </is>
      </c>
      <c r="B8" s="2" t="n">
        <v>0</v>
      </c>
      <c r="C8" s="2" t="n">
        <v>0</v>
      </c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</row>
    <row r="9">
      <c r="A9" t="inlineStr">
        <is>
          <t>Desinversiones</t>
        </is>
      </c>
      <c r="B9" s="2" t="n">
        <v>0</v>
      </c>
      <c r="C9" s="2" t="n">
        <v>0</v>
      </c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</row>
    <row r="10">
      <c r="A10" t="inlineStr">
        <is>
          <t>Otros cobros</t>
        </is>
      </c>
      <c r="B10" s="2" t="n">
        <v>0</v>
      </c>
      <c r="C10" s="2" t="n">
        <v>0</v>
      </c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</row>
    <row r="12">
      <c r="A12" s="1" t="inlineStr">
        <is>
          <t>TOTAL COBROS</t>
        </is>
      </c>
      <c r="B12" s="3">
        <f>SUM(B4:B10)</f>
        <v/>
      </c>
      <c r="C12" s="3">
        <f>SUM(C4:C10)</f>
        <v/>
      </c>
      <c r="D12" s="3">
        <f>SUM(D4:D10)</f>
        <v/>
      </c>
      <c r="E12" s="3">
        <f>SUM(E4:E10)</f>
        <v/>
      </c>
      <c r="F12" s="3">
        <f>SUM(F4:F10)</f>
        <v/>
      </c>
      <c r="G12" s="3">
        <f>SUM(G4:G10)</f>
        <v/>
      </c>
      <c r="H12" s="3">
        <f>SUM(H4:H10)</f>
        <v/>
      </c>
      <c r="I12" s="3">
        <f>SUM(I4:I10)</f>
        <v/>
      </c>
      <c r="J12" s="3">
        <f>SUM(J4:J10)</f>
        <v/>
      </c>
      <c r="K12" s="3">
        <f>SUM(K4:K10)</f>
        <v/>
      </c>
      <c r="L12" s="3">
        <f>SUM(L4:L10)</f>
        <v/>
      </c>
      <c r="M12" s="3">
        <f>SUM(M4:M10)</f>
        <v/>
      </c>
    </row>
    <row r="14">
      <c r="A14" s="1" t="inlineStr">
        <is>
          <t>Pagos de explotación</t>
        </is>
      </c>
    </row>
    <row r="15">
      <c r="A15" t="inlineStr">
        <is>
          <t>Materiales</t>
        </is>
      </c>
      <c r="B15" s="2" t="n">
        <v>0</v>
      </c>
      <c r="C15" s="2" t="n">
        <v>0</v>
      </c>
      <c r="D15" s="2" t="n">
        <v>0</v>
      </c>
      <c r="E15" s="2" t="n">
        <v>0</v>
      </c>
      <c r="F15" s="2" t="n">
        <v>0</v>
      </c>
      <c r="G15" s="2" t="n">
        <v>0</v>
      </c>
      <c r="H15" s="2" t="n">
        <v>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</row>
    <row r="16">
      <c r="A16" t="inlineStr">
        <is>
          <t>Fabricación</t>
        </is>
      </c>
      <c r="B16" s="2" t="n">
        <v>0</v>
      </c>
      <c r="C16" s="2" t="n">
        <v>0</v>
      </c>
      <c r="D16" s="2" t="n">
        <v>0</v>
      </c>
      <c r="E16" s="2" t="n">
        <v>0</v>
      </c>
      <c r="F16" s="2" t="n">
        <v>0</v>
      </c>
      <c r="G16" s="2" t="n">
        <v>0</v>
      </c>
      <c r="H16" s="2" t="n">
        <v>0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</row>
    <row r="17">
      <c r="A17" t="inlineStr">
        <is>
          <t>Compras y servicios externos (con IVA)</t>
        </is>
      </c>
      <c r="B17" s="2" t="n">
        <v>7389.333125</v>
      </c>
      <c r="C17" s="2" t="n">
        <v>7597.377500000001</v>
      </c>
      <c r="D17" s="2" t="n">
        <v>7597.377500000001</v>
      </c>
      <c r="E17" s="2" t="n">
        <v>7805.421875</v>
      </c>
      <c r="F17" s="2" t="n">
        <v>7805.421875</v>
      </c>
      <c r="G17" s="2" t="n">
        <v>8013.46625</v>
      </c>
      <c r="H17" s="2" t="n">
        <v>8013.46625</v>
      </c>
      <c r="I17" s="2" t="n">
        <v>8221.510625000001</v>
      </c>
      <c r="J17" s="2" t="n">
        <v>8013.46625</v>
      </c>
      <c r="K17" s="2" t="n">
        <v>8221.510625000001</v>
      </c>
      <c r="L17" s="2" t="n">
        <v>8221.510625000001</v>
      </c>
      <c r="M17" s="2" t="n">
        <v>8429.555</v>
      </c>
    </row>
    <row r="18">
      <c r="A18" t="inlineStr">
        <is>
          <t>Nóminas.Salario Neto</t>
        </is>
      </c>
      <c r="B18" s="2" t="n">
        <v>7550.000000000001</v>
      </c>
      <c r="C18" s="2" t="n">
        <v>7550.000000000001</v>
      </c>
      <c r="D18" s="2" t="n">
        <v>7550.000000000001</v>
      </c>
      <c r="E18" s="2" t="n">
        <v>7550.000000000001</v>
      </c>
      <c r="F18" s="2" t="n">
        <v>7550.000000000001</v>
      </c>
      <c r="G18" s="2" t="n">
        <v>7550.000000000001</v>
      </c>
      <c r="H18" s="2" t="n">
        <v>7550.000000000001</v>
      </c>
      <c r="I18" s="2" t="n">
        <v>7550.000000000001</v>
      </c>
      <c r="J18" s="2" t="n">
        <v>7550.000000000001</v>
      </c>
      <c r="K18" s="2" t="n">
        <v>7550.000000000001</v>
      </c>
      <c r="L18" s="2" t="n">
        <v>7550.000000000001</v>
      </c>
      <c r="M18" s="2" t="n">
        <v>7550.000000000001</v>
      </c>
    </row>
    <row r="19">
      <c r="A19" t="inlineStr">
        <is>
          <t>Nóminas.Seguridad Social (obrera y patronal)</t>
        </is>
      </c>
      <c r="B19" s="2" t="n">
        <v>2737.5</v>
      </c>
      <c r="C19" s="2" t="n">
        <v>3650</v>
      </c>
      <c r="D19" s="2" t="n">
        <v>3650</v>
      </c>
      <c r="E19" s="2" t="n">
        <v>3650</v>
      </c>
      <c r="F19" s="2" t="n">
        <v>3650</v>
      </c>
      <c r="G19" s="2" t="n">
        <v>3650</v>
      </c>
      <c r="H19" s="2" t="n">
        <v>3650</v>
      </c>
      <c r="I19" s="2" t="n">
        <v>3650</v>
      </c>
      <c r="J19" s="2" t="n">
        <v>3650</v>
      </c>
      <c r="K19" s="2" t="n">
        <v>3650</v>
      </c>
      <c r="L19" s="2" t="n">
        <v>3650</v>
      </c>
      <c r="M19" s="2" t="n">
        <v>3650</v>
      </c>
    </row>
    <row r="21">
      <c r="A21" t="inlineStr">
        <is>
          <t>Nóminas.Liquidación IRPF</t>
        </is>
      </c>
      <c r="B21" s="2" t="n">
        <v>4050</v>
      </c>
      <c r="C21" s="2" t="n">
        <v>0</v>
      </c>
      <c r="D21" s="2" t="n">
        <v>0</v>
      </c>
      <c r="E21" s="2" t="n">
        <v>5400</v>
      </c>
      <c r="F21" s="2" t="n">
        <v>0</v>
      </c>
      <c r="G21" s="2" t="n">
        <v>0</v>
      </c>
      <c r="H21" s="2" t="n">
        <v>5400</v>
      </c>
      <c r="I21" s="2" t="n">
        <v>0</v>
      </c>
      <c r="J21" s="2" t="n">
        <v>0</v>
      </c>
      <c r="K21" s="2" t="n">
        <v>5400</v>
      </c>
      <c r="L21" s="2" t="n">
        <v>0</v>
      </c>
      <c r="M21" s="2" t="n">
        <v>0</v>
      </c>
    </row>
    <row r="22">
      <c r="A22" t="inlineStr">
        <is>
          <t>Impuestos.Liquidación IVA</t>
        </is>
      </c>
      <c r="B22" s="2" t="n">
        <v>0</v>
      </c>
      <c r="C22" s="2" t="n">
        <v>0</v>
      </c>
      <c r="D22" s="2" t="n">
        <v>0</v>
      </c>
      <c r="E22" s="2" t="n">
        <v>3264.699375000001</v>
      </c>
      <c r="F22" s="2" t="n">
        <v>0</v>
      </c>
      <c r="G22" s="2" t="n">
        <v>0</v>
      </c>
      <c r="H22" s="2" t="n">
        <v>14666.19</v>
      </c>
      <c r="I22" s="2" t="n">
        <v>0</v>
      </c>
      <c r="J22" s="2" t="n">
        <v>0</v>
      </c>
      <c r="K22" s="2" t="n">
        <v>10431.369375</v>
      </c>
      <c r="L22" s="2" t="n">
        <v>0</v>
      </c>
      <c r="M22" s="2" t="n">
        <v>0</v>
      </c>
    </row>
    <row r="23">
      <c r="A23" t="inlineStr">
        <is>
          <t>Impuestos.Impuesto de sociedades</t>
        </is>
      </c>
      <c r="B23" s="2" t="n">
        <v>0</v>
      </c>
      <c r="C23" s="2" t="n">
        <v>0</v>
      </c>
      <c r="D23" s="2" t="n">
        <v>0</v>
      </c>
      <c r="E23" s="2" t="n">
        <v>0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</row>
    <row r="24">
      <c r="A24" s="1" t="inlineStr">
        <is>
          <t>Otros pagos</t>
        </is>
      </c>
    </row>
    <row r="25">
      <c r="A25" t="inlineStr">
        <is>
          <t>Dividendos</t>
        </is>
      </c>
      <c r="B25" s="2" t="n">
        <v>0</v>
      </c>
      <c r="C25" s="2" t="n">
        <v>0</v>
      </c>
      <c r="D25" s="2" t="n">
        <v>0</v>
      </c>
      <c r="E25" s="2" t="n">
        <v>0</v>
      </c>
      <c r="F25" s="2" t="n">
        <v>0</v>
      </c>
      <c r="G25" s="2" t="n">
        <v>0</v>
      </c>
      <c r="H25" s="2" t="n">
        <v>0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</row>
    <row r="26">
      <c r="A26" t="inlineStr">
        <is>
          <t>Devolución préstamos</t>
        </is>
      </c>
      <c r="B26" s="2" t="n">
        <v>416.6666666666667</v>
      </c>
      <c r="C26" s="2" t="n">
        <v>416.6666666666667</v>
      </c>
      <c r="D26" s="2" t="n">
        <v>416.6666666666667</v>
      </c>
      <c r="E26" s="2" t="n">
        <v>416.6666666666667</v>
      </c>
      <c r="F26" s="2" t="n">
        <v>416.6666666666667</v>
      </c>
      <c r="G26" s="2" t="n">
        <v>416.6666666666667</v>
      </c>
      <c r="H26" s="2" t="n">
        <v>416.6666666666667</v>
      </c>
      <c r="I26" s="2" t="n">
        <v>416.6666666666667</v>
      </c>
      <c r="J26" s="2" t="n">
        <v>416.6666666666667</v>
      </c>
      <c r="K26" s="2" t="n">
        <v>416.6666666666667</v>
      </c>
      <c r="L26" s="2" t="n">
        <v>416.6666666666667</v>
      </c>
      <c r="M26" s="2" t="n">
        <v>416.6666666666667</v>
      </c>
    </row>
    <row r="27">
      <c r="A27" t="inlineStr">
        <is>
          <t>Intereses de préstamos</t>
        </is>
      </c>
      <c r="B27" s="2" t="n">
        <v>108.3333333333333</v>
      </c>
      <c r="C27" s="2" t="n">
        <v>106.0763888888889</v>
      </c>
      <c r="D27" s="2" t="n">
        <v>628.8194444444445</v>
      </c>
      <c r="E27" s="2" t="n">
        <v>101.5625</v>
      </c>
      <c r="F27" s="2" t="n">
        <v>99.30555555555553</v>
      </c>
      <c r="G27" s="2" t="n">
        <v>622.0486111111111</v>
      </c>
      <c r="H27" s="2" t="n">
        <v>94.79166666666663</v>
      </c>
      <c r="I27" s="2" t="n">
        <v>92.53472222222217</v>
      </c>
      <c r="J27" s="2" t="n">
        <v>615.2777777777777</v>
      </c>
      <c r="K27" s="2" t="n">
        <v>88.0208333333333</v>
      </c>
      <c r="L27" s="2" t="n">
        <v>85.76388888888884</v>
      </c>
      <c r="M27" s="2" t="n">
        <v>608.5069444444443</v>
      </c>
    </row>
    <row r="28">
      <c r="A28" t="inlineStr">
        <is>
          <t>Inversiones (con IVA)</t>
        </is>
      </c>
      <c r="B28" s="2" t="n">
        <v>3025</v>
      </c>
      <c r="C28" s="2" t="n">
        <v>1210</v>
      </c>
      <c r="D28" s="2" t="n">
        <v>0</v>
      </c>
      <c r="E28" s="2" t="n">
        <v>0</v>
      </c>
      <c r="F28" s="2" t="n">
        <v>0</v>
      </c>
      <c r="G28" s="2" t="n">
        <v>0</v>
      </c>
      <c r="H28" s="2" t="n">
        <v>0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</row>
    <row r="29">
      <c r="A29" t="inlineStr">
        <is>
          <t>Otros pagos (gastos de la ronda)</t>
        </is>
      </c>
      <c r="B29" s="2" t="n">
        <v>0</v>
      </c>
      <c r="C29" s="2" t="n">
        <v>0</v>
      </c>
      <c r="D29" s="2" t="n">
        <v>0</v>
      </c>
      <c r="E29" s="2" t="n">
        <v>0</v>
      </c>
      <c r="F29" s="2" t="n">
        <v>0</v>
      </c>
      <c r="G29" s="2" t="n">
        <v>0</v>
      </c>
      <c r="H29" s="2" t="n">
        <v>0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</row>
    <row r="30">
      <c r="A30" s="1" t="inlineStr">
        <is>
          <t>TOTAL PAGOS</t>
        </is>
      </c>
      <c r="B30" s="3">
        <f>SUM(B15:B29)</f>
        <v/>
      </c>
      <c r="C30" s="3">
        <f>SUM(C15:C29)</f>
        <v/>
      </c>
      <c r="D30" s="3">
        <f>SUM(D15:D29)</f>
        <v/>
      </c>
      <c r="E30" s="3">
        <f>SUM(E15:E29)</f>
        <v/>
      </c>
      <c r="F30" s="3">
        <f>SUM(F15:F29)</f>
        <v/>
      </c>
      <c r="G30" s="3">
        <f>SUM(G15:G29)</f>
        <v/>
      </c>
      <c r="H30" s="3">
        <f>SUM(H15:H29)</f>
        <v/>
      </c>
      <c r="I30" s="3">
        <f>SUM(I15:I29)</f>
        <v/>
      </c>
      <c r="J30" s="3">
        <f>SUM(J15:J29)</f>
        <v/>
      </c>
      <c r="K30" s="3">
        <f>SUM(K15:K29)</f>
        <v/>
      </c>
      <c r="L30" s="3">
        <f>SUM(L15:L29)</f>
        <v/>
      </c>
      <c r="M30" s="3">
        <f>SUM(M15:M29)</f>
        <v/>
      </c>
    </row>
    <row r="32">
      <c r="A32" s="1" t="inlineStr">
        <is>
          <t>SALDO FINAL DE TESORERÍA</t>
        </is>
      </c>
      <c r="B32" s="3">
        <f>B2+B12-B30</f>
        <v/>
      </c>
      <c r="C32" s="3">
        <f>C2+C12-C30</f>
        <v/>
      </c>
      <c r="D32" s="3">
        <f>D2+D12-D30</f>
        <v/>
      </c>
      <c r="E32" s="3">
        <f>E2+E12-E30</f>
        <v/>
      </c>
      <c r="F32" s="3">
        <f>F2+F12-F30</f>
        <v/>
      </c>
      <c r="G32" s="3">
        <f>G2+G12-G30</f>
        <v/>
      </c>
      <c r="H32" s="3">
        <f>H2+H12-H30</f>
        <v/>
      </c>
      <c r="I32" s="3">
        <f>I2+I12-I30</f>
        <v/>
      </c>
      <c r="J32" s="3">
        <f>J2+J12-J30</f>
        <v/>
      </c>
      <c r="K32" s="3">
        <f>K2+K12-K30</f>
        <v/>
      </c>
      <c r="L32" s="3">
        <f>L2+L12-L30</f>
        <v/>
      </c>
      <c r="M32" s="3">
        <f>M2+M12-M30</f>
        <v/>
      </c>
    </row>
    <row r="34">
      <c r="A34" t="inlineStr">
        <is>
          <t>Saldo final según el modelo (tiene que ser igual)</t>
        </is>
      </c>
      <c r="B34" s="2" t="n">
        <v>291825.391875</v>
      </c>
      <c r="C34" s="2" t="n">
        <v>283395.2713194444</v>
      </c>
      <c r="D34" s="2" t="n">
        <v>299428.9077083333</v>
      </c>
      <c r="E34" s="2" t="n">
        <v>283340.5572916666</v>
      </c>
      <c r="F34" s="2" t="n">
        <v>299695.6631944444</v>
      </c>
      <c r="G34" s="2" t="n">
        <v>315319.9816666666</v>
      </c>
      <c r="H34" s="2" t="n">
        <v>311405.3670833333</v>
      </c>
      <c r="I34" s="2" t="n">
        <v>327351.1550694444</v>
      </c>
      <c r="J34" s="2" t="n">
        <v>342982.244375</v>
      </c>
      <c r="K34" s="2" t="n">
        <v>319324.6768749999</v>
      </c>
      <c r="L34" s="2" t="n">
        <v>335277.2356944444</v>
      </c>
      <c r="M34" s="2" t="n">
        <v>326722.5070833333</v>
      </c>
    </row>
    <row r="36">
      <c r="A36" t="inlineStr">
        <is>
          <t>El saldo inicial de enero es el saldo final del año anterior (o la tesorería del balance del momento 0); el saldo final del mes 12 es la tesorería del balance del año. El IVA se liquida a trimestre vencido y el impuesto de sociedades en el mes de pago del año siguiente.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MESES</t>
        </is>
      </c>
      <c r="B1" s="1" t="n">
        <v>25</v>
      </c>
      <c r="C1" s="1" t="n">
        <v>26</v>
      </c>
      <c r="D1" s="1" t="n">
        <v>27</v>
      </c>
      <c r="E1" s="1" t="n">
        <v>28</v>
      </c>
      <c r="F1" s="1" t="n">
        <v>29</v>
      </c>
      <c r="G1" s="1" t="n">
        <v>30</v>
      </c>
      <c r="H1" s="1" t="n">
        <v>31</v>
      </c>
      <c r="I1" s="1" t="n">
        <v>32</v>
      </c>
      <c r="J1" s="1" t="n">
        <v>33</v>
      </c>
      <c r="K1" s="1" t="n">
        <v>34</v>
      </c>
      <c r="L1" s="1" t="n">
        <v>35</v>
      </c>
      <c r="M1" s="1" t="n">
        <v>36</v>
      </c>
    </row>
    <row r="2">
      <c r="A2" s="1" t="inlineStr">
        <is>
          <t>SALDO INICIAL DE TESORERÍA</t>
        </is>
      </c>
      <c r="B2" s="2" t="n">
        <v>326722.5070833333</v>
      </c>
      <c r="C2" s="3">
        <f>B32</f>
        <v/>
      </c>
      <c r="D2" s="3">
        <f>C32</f>
        <v/>
      </c>
      <c r="E2" s="3">
        <f>D32</f>
        <v/>
      </c>
      <c r="F2" s="3">
        <f>E32</f>
        <v/>
      </c>
      <c r="G2" s="3">
        <f>F32</f>
        <v/>
      </c>
      <c r="H2" s="3">
        <f>G32</f>
        <v/>
      </c>
      <c r="I2" s="3">
        <f>H32</f>
        <v/>
      </c>
      <c r="J2" s="3">
        <f>I32</f>
        <v/>
      </c>
      <c r="K2" s="3">
        <f>J32</f>
        <v/>
      </c>
      <c r="L2" s="3">
        <f>K32</f>
        <v/>
      </c>
      <c r="M2" s="3">
        <f>L32</f>
        <v/>
      </c>
    </row>
    <row r="4">
      <c r="A4" t="inlineStr">
        <is>
          <t>Cobros por ventas (con IVA)</t>
        </is>
      </c>
      <c r="B4" s="2" t="n">
        <v>35876.5</v>
      </c>
      <c r="C4" s="2" t="n">
        <v>12100</v>
      </c>
      <c r="D4" s="2" t="n">
        <v>47976.5</v>
      </c>
      <c r="E4" s="2" t="n">
        <v>35876.5</v>
      </c>
      <c r="F4" s="2" t="n">
        <v>35876.5</v>
      </c>
      <c r="G4" s="2" t="n">
        <v>71753</v>
      </c>
      <c r="H4" s="2" t="n">
        <v>59653</v>
      </c>
      <c r="I4" s="2" t="n">
        <v>35876.5</v>
      </c>
      <c r="J4" s="2" t="n">
        <v>71753</v>
      </c>
      <c r="K4" s="2" t="n">
        <v>35876.5</v>
      </c>
      <c r="L4" s="2" t="n">
        <v>35876.5</v>
      </c>
      <c r="M4" s="2" t="n">
        <v>47976.5</v>
      </c>
    </row>
    <row r="5">
      <c r="A5" t="inlineStr">
        <is>
          <t>Otros cobros</t>
        </is>
      </c>
      <c r="B5" s="2" t="n">
        <v>0</v>
      </c>
      <c r="C5" s="2" t="n">
        <v>0</v>
      </c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</row>
    <row r="6">
      <c r="A6" t="inlineStr">
        <is>
          <t>Devolución IVA</t>
        </is>
      </c>
      <c r="B6" s="2" t="n">
        <v>0</v>
      </c>
      <c r="C6" s="2" t="n">
        <v>0</v>
      </c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</row>
    <row r="7">
      <c r="A7" t="inlineStr">
        <is>
          <t>Ampliaciones de Capital</t>
        </is>
      </c>
      <c r="B7" s="2" t="n">
        <v>0</v>
      </c>
      <c r="C7" s="2" t="n">
        <v>0</v>
      </c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</row>
    <row r="8">
      <c r="A8" t="inlineStr">
        <is>
          <t>Préstamos</t>
        </is>
      </c>
      <c r="B8" s="2" t="n">
        <v>0</v>
      </c>
      <c r="C8" s="2" t="n">
        <v>0</v>
      </c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</row>
    <row r="9">
      <c r="A9" t="inlineStr">
        <is>
          <t>Desinversiones</t>
        </is>
      </c>
      <c r="B9" s="2" t="n">
        <v>0</v>
      </c>
      <c r="C9" s="2" t="n">
        <v>0</v>
      </c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</row>
    <row r="10">
      <c r="A10" t="inlineStr">
        <is>
          <t>Otros cobros</t>
        </is>
      </c>
      <c r="B10" s="2" t="n">
        <v>0</v>
      </c>
      <c r="C10" s="2" t="n">
        <v>0</v>
      </c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</row>
    <row r="12">
      <c r="A12" s="1" t="inlineStr">
        <is>
          <t>TOTAL COBROS</t>
        </is>
      </c>
      <c r="B12" s="3">
        <f>SUM(B4:B10)</f>
        <v/>
      </c>
      <c r="C12" s="3">
        <f>SUM(C4:C10)</f>
        <v/>
      </c>
      <c r="D12" s="3">
        <f>SUM(D4:D10)</f>
        <v/>
      </c>
      <c r="E12" s="3">
        <f>SUM(E4:E10)</f>
        <v/>
      </c>
      <c r="F12" s="3">
        <f>SUM(F4:F10)</f>
        <v/>
      </c>
      <c r="G12" s="3">
        <f>SUM(G4:G10)</f>
        <v/>
      </c>
      <c r="H12" s="3">
        <f>SUM(H4:H10)</f>
        <v/>
      </c>
      <c r="I12" s="3">
        <f>SUM(I4:I10)</f>
        <v/>
      </c>
      <c r="J12" s="3">
        <f>SUM(J4:J10)</f>
        <v/>
      </c>
      <c r="K12" s="3">
        <f>SUM(K4:K10)</f>
        <v/>
      </c>
      <c r="L12" s="3">
        <f>SUM(L4:L10)</f>
        <v/>
      </c>
      <c r="M12" s="3">
        <f>SUM(M4:M10)</f>
        <v/>
      </c>
    </row>
    <row r="14">
      <c r="A14" s="1" t="inlineStr">
        <is>
          <t>Pagos de explotación</t>
        </is>
      </c>
    </row>
    <row r="15">
      <c r="A15" t="inlineStr">
        <is>
          <t>Materiales</t>
        </is>
      </c>
      <c r="B15" s="2" t="n">
        <v>0</v>
      </c>
      <c r="C15" s="2" t="n">
        <v>0</v>
      </c>
      <c r="D15" s="2" t="n">
        <v>0</v>
      </c>
      <c r="E15" s="2" t="n">
        <v>0</v>
      </c>
      <c r="F15" s="2" t="n">
        <v>0</v>
      </c>
      <c r="G15" s="2" t="n">
        <v>0</v>
      </c>
      <c r="H15" s="2" t="n">
        <v>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</row>
    <row r="16">
      <c r="A16" t="inlineStr">
        <is>
          <t>Fabricación</t>
        </is>
      </c>
      <c r="B16" s="2" t="n">
        <v>0</v>
      </c>
      <c r="C16" s="2" t="n">
        <v>0</v>
      </c>
      <c r="D16" s="2" t="n">
        <v>0</v>
      </c>
      <c r="E16" s="2" t="n">
        <v>0</v>
      </c>
      <c r="F16" s="2" t="n">
        <v>0</v>
      </c>
      <c r="G16" s="2" t="n">
        <v>0</v>
      </c>
      <c r="H16" s="2" t="n">
        <v>0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</row>
    <row r="17">
      <c r="A17" t="inlineStr">
        <is>
          <t>Compras y servicios externos (con IVA)</t>
        </is>
      </c>
      <c r="B17" s="2" t="n">
        <v>10655.955</v>
      </c>
      <c r="C17" s="2" t="n">
        <v>10655.955</v>
      </c>
      <c r="D17" s="2" t="n">
        <v>10863.999375</v>
      </c>
      <c r="E17" s="2" t="n">
        <v>10863.999375</v>
      </c>
      <c r="F17" s="2" t="n">
        <v>11072.04375</v>
      </c>
      <c r="G17" s="2" t="n">
        <v>11280.088125</v>
      </c>
      <c r="H17" s="2" t="n">
        <v>11280.088125</v>
      </c>
      <c r="I17" s="2" t="n">
        <v>11488.1325</v>
      </c>
      <c r="J17" s="2" t="n">
        <v>11696.176875</v>
      </c>
      <c r="K17" s="2" t="n">
        <v>11696.176875</v>
      </c>
      <c r="L17" s="2" t="n">
        <v>11904.22125</v>
      </c>
      <c r="M17" s="2" t="n">
        <v>12112.265625</v>
      </c>
    </row>
    <row r="18">
      <c r="A18" t="inlineStr">
        <is>
          <t>Nóminas.Salario Neto</t>
        </is>
      </c>
      <c r="B18" s="2" t="n">
        <v>9815.000000000002</v>
      </c>
      <c r="C18" s="2" t="n">
        <v>9815.000000000002</v>
      </c>
      <c r="D18" s="2" t="n">
        <v>9815.000000000002</v>
      </c>
      <c r="E18" s="2" t="n">
        <v>9815.000000000002</v>
      </c>
      <c r="F18" s="2" t="n">
        <v>9815.000000000002</v>
      </c>
      <c r="G18" s="2" t="n">
        <v>9815.000000000002</v>
      </c>
      <c r="H18" s="2" t="n">
        <v>9815.000000000002</v>
      </c>
      <c r="I18" s="2" t="n">
        <v>9815.000000000002</v>
      </c>
      <c r="J18" s="2" t="n">
        <v>9815.000000000002</v>
      </c>
      <c r="K18" s="2" t="n">
        <v>9815.000000000002</v>
      </c>
      <c r="L18" s="2" t="n">
        <v>9815.000000000002</v>
      </c>
      <c r="M18" s="2" t="n">
        <v>9815.000000000002</v>
      </c>
    </row>
    <row r="19">
      <c r="A19" t="inlineStr">
        <is>
          <t>Nóminas.Seguridad Social (obrera y patronal)</t>
        </is>
      </c>
      <c r="B19" s="2" t="n">
        <v>3650</v>
      </c>
      <c r="C19" s="2" t="n">
        <v>4745</v>
      </c>
      <c r="D19" s="2" t="n">
        <v>4745</v>
      </c>
      <c r="E19" s="2" t="n">
        <v>4745</v>
      </c>
      <c r="F19" s="2" t="n">
        <v>4745</v>
      </c>
      <c r="G19" s="2" t="n">
        <v>4745</v>
      </c>
      <c r="H19" s="2" t="n">
        <v>4745</v>
      </c>
      <c r="I19" s="2" t="n">
        <v>4745</v>
      </c>
      <c r="J19" s="2" t="n">
        <v>4745</v>
      </c>
      <c r="K19" s="2" t="n">
        <v>4745</v>
      </c>
      <c r="L19" s="2" t="n">
        <v>4745</v>
      </c>
      <c r="M19" s="2" t="n">
        <v>4745</v>
      </c>
    </row>
    <row r="21">
      <c r="A21" t="inlineStr">
        <is>
          <t>Nóminas.Liquidación IRPF</t>
        </is>
      </c>
      <c r="B21" s="2" t="n">
        <v>5400</v>
      </c>
      <c r="C21" s="2" t="n">
        <v>0</v>
      </c>
      <c r="D21" s="2" t="n">
        <v>0</v>
      </c>
      <c r="E21" s="2" t="n">
        <v>7020</v>
      </c>
      <c r="F21" s="2" t="n">
        <v>0</v>
      </c>
      <c r="G21" s="2" t="n">
        <v>0</v>
      </c>
      <c r="H21" s="2" t="n">
        <v>7020</v>
      </c>
      <c r="I21" s="2" t="n">
        <v>0</v>
      </c>
      <c r="J21" s="2" t="n">
        <v>0</v>
      </c>
      <c r="K21" s="2" t="n">
        <v>7020</v>
      </c>
      <c r="L21" s="2" t="n">
        <v>0</v>
      </c>
      <c r="M21" s="2" t="n">
        <v>0</v>
      </c>
    </row>
    <row r="22">
      <c r="A22" t="inlineStr">
        <is>
          <t>Impuestos.Liquidación IVA</t>
        </is>
      </c>
      <c r="B22" s="2" t="n">
        <v>10323.04875</v>
      </c>
      <c r="C22" s="2" t="n">
        <v>0</v>
      </c>
      <c r="D22" s="2" t="n">
        <v>0</v>
      </c>
      <c r="E22" s="2" t="n">
        <v>10630.528125</v>
      </c>
      <c r="F22" s="2" t="n">
        <v>0</v>
      </c>
      <c r="G22" s="2" t="n">
        <v>0</v>
      </c>
      <c r="H22" s="2" t="n">
        <v>23354.49375</v>
      </c>
      <c r="I22" s="2" t="n">
        <v>0</v>
      </c>
      <c r="J22" s="2" t="n">
        <v>0</v>
      </c>
      <c r="K22" s="2" t="n">
        <v>19011.3525</v>
      </c>
      <c r="L22" s="2" t="n">
        <v>0</v>
      </c>
      <c r="M22" s="2" t="n">
        <v>0</v>
      </c>
    </row>
    <row r="23">
      <c r="A23" t="inlineStr">
        <is>
          <t>Impuestos.Impuesto de sociedades</t>
        </is>
      </c>
      <c r="B23" s="2" t="n">
        <v>0</v>
      </c>
      <c r="C23" s="2" t="n">
        <v>0</v>
      </c>
      <c r="D23" s="2" t="n">
        <v>0</v>
      </c>
      <c r="E23" s="2" t="n">
        <v>0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</row>
    <row r="24">
      <c r="A24" s="1" t="inlineStr">
        <is>
          <t>Otros pagos</t>
        </is>
      </c>
    </row>
    <row r="25">
      <c r="A25" t="inlineStr">
        <is>
          <t>Dividendos</t>
        </is>
      </c>
      <c r="B25" s="2" t="n">
        <v>0</v>
      </c>
      <c r="C25" s="2" t="n">
        <v>0</v>
      </c>
      <c r="D25" s="2" t="n">
        <v>0</v>
      </c>
      <c r="E25" s="2" t="n">
        <v>0</v>
      </c>
      <c r="F25" s="2" t="n">
        <v>0</v>
      </c>
      <c r="G25" s="2" t="n">
        <v>0</v>
      </c>
      <c r="H25" s="2" t="n">
        <v>0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</row>
    <row r="26">
      <c r="A26" t="inlineStr">
        <is>
          <t>Devolución préstamos</t>
        </is>
      </c>
      <c r="B26" s="2" t="n">
        <v>416.6666666666667</v>
      </c>
      <c r="C26" s="2" t="n">
        <v>416.6666666666667</v>
      </c>
      <c r="D26" s="2" t="n">
        <v>416.6666666666667</v>
      </c>
      <c r="E26" s="2" t="n">
        <v>416.6666666666667</v>
      </c>
      <c r="F26" s="2" t="n">
        <v>416.6666666666667</v>
      </c>
      <c r="G26" s="2" t="n">
        <v>416.6666666666667</v>
      </c>
      <c r="H26" s="2" t="n">
        <v>416.6666666666667</v>
      </c>
      <c r="I26" s="2" t="n">
        <v>416.6666666666667</v>
      </c>
      <c r="J26" s="2" t="n">
        <v>2166.666666666667</v>
      </c>
      <c r="K26" s="2" t="n">
        <v>416.6666666666667</v>
      </c>
      <c r="L26" s="2" t="n">
        <v>416.6666666666667</v>
      </c>
      <c r="M26" s="2" t="n">
        <v>2166.666666666667</v>
      </c>
    </row>
    <row r="27">
      <c r="A27" t="inlineStr">
        <is>
          <t>Intereses de préstamos</t>
        </is>
      </c>
      <c r="B27" s="2" t="n">
        <v>81.24999999999996</v>
      </c>
      <c r="C27" s="2" t="n">
        <v>78.99305555555553</v>
      </c>
      <c r="D27" s="2" t="n">
        <v>601.7361111111111</v>
      </c>
      <c r="E27" s="2" t="n">
        <v>74.47916666666664</v>
      </c>
      <c r="F27" s="2" t="n">
        <v>72.2222222222222</v>
      </c>
      <c r="G27" s="2" t="n">
        <v>594.9652777777777</v>
      </c>
      <c r="H27" s="2" t="n">
        <v>67.70833333333331</v>
      </c>
      <c r="I27" s="2" t="n">
        <v>65.45138888888887</v>
      </c>
      <c r="J27" s="2" t="n">
        <v>588.1944444444445</v>
      </c>
      <c r="K27" s="2" t="n">
        <v>60.93749999999999</v>
      </c>
      <c r="L27" s="2" t="n">
        <v>58.68055555555555</v>
      </c>
      <c r="M27" s="2" t="n">
        <v>555.1736111111111</v>
      </c>
    </row>
    <row r="28">
      <c r="A28" t="inlineStr">
        <is>
          <t>Inversiones (con IVA)</t>
        </is>
      </c>
      <c r="B28" s="2" t="n">
        <v>3025</v>
      </c>
      <c r="C28" s="2" t="n">
        <v>0</v>
      </c>
      <c r="D28" s="2" t="n">
        <v>0</v>
      </c>
      <c r="E28" s="2" t="n">
        <v>0</v>
      </c>
      <c r="F28" s="2" t="n">
        <v>0</v>
      </c>
      <c r="G28" s="2" t="n">
        <v>0</v>
      </c>
      <c r="H28" s="2" t="n">
        <v>0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</row>
    <row r="29">
      <c r="A29" t="inlineStr">
        <is>
          <t>Otros pagos (gastos de la ronda)</t>
        </is>
      </c>
      <c r="B29" s="2" t="n">
        <v>0</v>
      </c>
      <c r="C29" s="2" t="n">
        <v>0</v>
      </c>
      <c r="D29" s="2" t="n">
        <v>0</v>
      </c>
      <c r="E29" s="2" t="n">
        <v>0</v>
      </c>
      <c r="F29" s="2" t="n">
        <v>0</v>
      </c>
      <c r="G29" s="2" t="n">
        <v>0</v>
      </c>
      <c r="H29" s="2" t="n">
        <v>0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</row>
    <row r="30">
      <c r="A30" s="1" t="inlineStr">
        <is>
          <t>TOTAL PAGOS</t>
        </is>
      </c>
      <c r="B30" s="3">
        <f>SUM(B15:B29)</f>
        <v/>
      </c>
      <c r="C30" s="3">
        <f>SUM(C15:C29)</f>
        <v/>
      </c>
      <c r="D30" s="3">
        <f>SUM(D15:D29)</f>
        <v/>
      </c>
      <c r="E30" s="3">
        <f>SUM(E15:E29)</f>
        <v/>
      </c>
      <c r="F30" s="3">
        <f>SUM(F15:F29)</f>
        <v/>
      </c>
      <c r="G30" s="3">
        <f>SUM(G15:G29)</f>
        <v/>
      </c>
      <c r="H30" s="3">
        <f>SUM(H15:H29)</f>
        <v/>
      </c>
      <c r="I30" s="3">
        <f>SUM(I15:I29)</f>
        <v/>
      </c>
      <c r="J30" s="3">
        <f>SUM(J15:J29)</f>
        <v/>
      </c>
      <c r="K30" s="3">
        <f>SUM(K15:K29)</f>
        <v/>
      </c>
      <c r="L30" s="3">
        <f>SUM(L15:L29)</f>
        <v/>
      </c>
      <c r="M30" s="3">
        <f>SUM(M15:M29)</f>
        <v/>
      </c>
    </row>
    <row r="32">
      <c r="A32" s="1" t="inlineStr">
        <is>
          <t>SALDO FINAL DE TESORERÍA</t>
        </is>
      </c>
      <c r="B32" s="3">
        <f>B2+B12-B30</f>
        <v/>
      </c>
      <c r="C32" s="3">
        <f>C2+C12-C30</f>
        <v/>
      </c>
      <c r="D32" s="3">
        <f>D2+D12-D30</f>
        <v/>
      </c>
      <c r="E32" s="3">
        <f>E2+E12-E30</f>
        <v/>
      </c>
      <c r="F32" s="3">
        <f>F2+F12-F30</f>
        <v/>
      </c>
      <c r="G32" s="3">
        <f>G2+G12-G30</f>
        <v/>
      </c>
      <c r="H32" s="3">
        <f>H2+H12-H30</f>
        <v/>
      </c>
      <c r="I32" s="3">
        <f>I2+I12-I30</f>
        <v/>
      </c>
      <c r="J32" s="3">
        <f>J2+J12-J30</f>
        <v/>
      </c>
      <c r="K32" s="3">
        <f>K2+K12-K30</f>
        <v/>
      </c>
      <c r="L32" s="3">
        <f>L2+L12-L30</f>
        <v/>
      </c>
      <c r="M32" s="3">
        <f>M2+M12-M30</f>
        <v/>
      </c>
    </row>
    <row r="34">
      <c r="A34" t="inlineStr">
        <is>
          <t>Saldo final según el modelo (tiene que ser igual)</t>
        </is>
      </c>
      <c r="B34" s="2" t="n">
        <v>319232.0866666666</v>
      </c>
      <c r="C34" s="2" t="n">
        <v>305620.4719444444</v>
      </c>
      <c r="D34" s="2" t="n">
        <v>327154.5697916666</v>
      </c>
      <c r="E34" s="2" t="n">
        <v>319465.3964583333</v>
      </c>
      <c r="F34" s="2" t="n">
        <v>329220.9638194444</v>
      </c>
      <c r="G34" s="2" t="n">
        <v>374122.24375</v>
      </c>
      <c r="H34" s="2" t="n">
        <v>377076.286875</v>
      </c>
      <c r="I34" s="2" t="n">
        <v>386422.5363194444</v>
      </c>
      <c r="J34" s="2" t="n">
        <v>429164.4983333333</v>
      </c>
      <c r="K34" s="2" t="n">
        <v>412275.8647916666</v>
      </c>
      <c r="L34" s="2" t="n">
        <v>421212.7963194444</v>
      </c>
      <c r="M34" s="2" t="n">
        <v>439795.1904166666</v>
      </c>
    </row>
    <row r="36">
      <c r="A36" t="inlineStr">
        <is>
          <t>El saldo inicial de enero es el saldo final del año anterior (o la tesorería del balance del momento 0); el saldo final del mes 12 es la tesorería del balance del año. El IVA se liquida a trimestre vencido y el impuesto de sociedades en el mes de pago del año siguiente.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mes</t>
        </is>
      </c>
      <c r="B1" t="inlineStr">
        <is>
          <t>ing_impl</t>
        </is>
      </c>
      <c r="C1" t="inlineStr">
        <is>
          <t>ing_lic</t>
        </is>
      </c>
      <c r="D1" t="inlineStr">
        <is>
          <t>sueldos</t>
        </is>
      </c>
      <c r="E1" t="inlineStr">
        <is>
          <t>cargas</t>
        </is>
      </c>
      <c r="F1" t="inlineStr">
        <is>
          <t>externos</t>
        </is>
      </c>
      <c r="G1" t="inlineStr">
        <is>
          <t>comision</t>
        </is>
      </c>
      <c r="H1" t="inlineStr">
        <is>
          <t>imprevistos</t>
        </is>
      </c>
      <c r="I1" t="inlineStr">
        <is>
          <t>amort</t>
        </is>
      </c>
      <c r="J1" t="inlineStr">
        <is>
          <t>financieros</t>
        </is>
      </c>
      <c r="K1" t="inlineStr">
        <is>
          <t>is</t>
        </is>
      </c>
      <c r="L1" t="inlineStr">
        <is>
          <t>fact_base</t>
        </is>
      </c>
      <c r="M1" t="inlineStr">
        <is>
          <t>fact_iva</t>
        </is>
      </c>
      <c r="N1" t="inlineStr">
        <is>
          <t>cobros</t>
        </is>
      </c>
      <c r="O1" t="inlineStr">
        <is>
          <t>pago_nomina</t>
        </is>
      </c>
      <c r="P1" t="inlineStr">
        <is>
          <t>pago_ss</t>
        </is>
      </c>
      <c r="Q1" t="inlineStr">
        <is>
          <t>pago_irpf</t>
        </is>
      </c>
      <c r="R1" t="inlineStr">
        <is>
          <t>pago_externos</t>
        </is>
      </c>
      <c r="S1" t="inlineStr">
        <is>
          <t>pago_iva</t>
        </is>
      </c>
      <c r="T1" t="inlineStr">
        <is>
          <t>pago_is</t>
        </is>
      </c>
      <c r="U1" t="inlineStr">
        <is>
          <t>pago_inversion</t>
        </is>
      </c>
      <c r="V1" t="inlineStr">
        <is>
          <t>pago_intereses</t>
        </is>
      </c>
      <c r="W1" t="inlineStr">
        <is>
          <t>pago_principal</t>
        </is>
      </c>
      <c r="X1" t="inlineStr">
        <is>
          <t>entrada_capital</t>
        </is>
      </c>
      <c r="Y1" t="inlineStr">
        <is>
          <t>pago_gastos_ronda</t>
        </is>
      </c>
      <c r="Z1" t="inlineStr">
        <is>
          <t>entrada_prestamo</t>
        </is>
      </c>
      <c r="AA1" t="inlineStr">
        <is>
          <t>tesoreria_final</t>
        </is>
      </c>
    </row>
    <row r="2">
      <c r="A2" t="n">
        <v>1</v>
      </c>
      <c r="B2" t="n">
        <v>0</v>
      </c>
      <c r="C2" t="n">
        <v>0</v>
      </c>
      <c r="D2" t="n">
        <v>3750</v>
      </c>
      <c r="E2" t="n">
        <v>1125</v>
      </c>
      <c r="F2" t="n">
        <v>2600</v>
      </c>
      <c r="G2" t="n">
        <v>0</v>
      </c>
      <c r="H2" t="n">
        <v>373.75</v>
      </c>
      <c r="I2" t="n">
        <v>245.83</v>
      </c>
      <c r="J2" t="n">
        <v>108.33</v>
      </c>
      <c r="K2" t="n">
        <v>0</v>
      </c>
      <c r="L2" t="n">
        <v>0</v>
      </c>
      <c r="M2" t="n">
        <v>0</v>
      </c>
      <c r="N2" t="n">
        <v>0</v>
      </c>
      <c r="O2" t="n">
        <v>2831.25</v>
      </c>
      <c r="P2" t="n">
        <v>0</v>
      </c>
      <c r="Q2" t="n">
        <v>0</v>
      </c>
      <c r="R2" t="n">
        <v>3577.24</v>
      </c>
      <c r="S2" t="n">
        <v>0</v>
      </c>
      <c r="T2" t="n">
        <v>0</v>
      </c>
      <c r="U2" t="n">
        <v>0</v>
      </c>
      <c r="V2" t="n">
        <v>108.33</v>
      </c>
      <c r="W2" t="n">
        <v>0</v>
      </c>
      <c r="X2" t="n">
        <v>0</v>
      </c>
      <c r="Y2" t="n">
        <v>0</v>
      </c>
      <c r="Z2" t="n">
        <v>0</v>
      </c>
      <c r="AA2" t="n">
        <v>37983.18</v>
      </c>
    </row>
    <row r="3">
      <c r="A3" t="n">
        <v>2</v>
      </c>
      <c r="B3" t="n">
        <v>0</v>
      </c>
      <c r="C3" t="n">
        <v>0</v>
      </c>
      <c r="D3" t="n">
        <v>3750</v>
      </c>
      <c r="E3" t="n">
        <v>1125</v>
      </c>
      <c r="F3" t="n">
        <v>2600</v>
      </c>
      <c r="G3" t="n">
        <v>0</v>
      </c>
      <c r="H3" t="n">
        <v>373.75</v>
      </c>
      <c r="I3" t="n">
        <v>245.83</v>
      </c>
      <c r="J3" t="n">
        <v>108.33</v>
      </c>
      <c r="K3" t="n">
        <v>0</v>
      </c>
      <c r="L3" t="n">
        <v>0</v>
      </c>
      <c r="M3" t="n">
        <v>0</v>
      </c>
      <c r="N3" t="n">
        <v>0</v>
      </c>
      <c r="O3" t="n">
        <v>2831.25</v>
      </c>
      <c r="P3" t="n">
        <v>1368.75</v>
      </c>
      <c r="Q3" t="n">
        <v>0</v>
      </c>
      <c r="R3" t="n">
        <v>3577.24</v>
      </c>
      <c r="S3" t="n">
        <v>0</v>
      </c>
      <c r="T3" t="n">
        <v>0</v>
      </c>
      <c r="U3" t="n">
        <v>0</v>
      </c>
      <c r="V3" t="n">
        <v>108.33</v>
      </c>
      <c r="W3" t="n">
        <v>0</v>
      </c>
      <c r="X3" t="n">
        <v>0</v>
      </c>
      <c r="Y3" t="n">
        <v>0</v>
      </c>
      <c r="Z3" t="n">
        <v>0</v>
      </c>
      <c r="AA3" t="n">
        <v>30097.61</v>
      </c>
    </row>
    <row r="4">
      <c r="A4" t="n">
        <v>3</v>
      </c>
      <c r="B4" t="n">
        <v>0</v>
      </c>
      <c r="C4" t="n">
        <v>0</v>
      </c>
      <c r="D4" t="n">
        <v>3750</v>
      </c>
      <c r="E4" t="n">
        <v>1125</v>
      </c>
      <c r="F4" t="n">
        <v>2600</v>
      </c>
      <c r="G4" t="n">
        <v>0</v>
      </c>
      <c r="H4" t="n">
        <v>373.75</v>
      </c>
      <c r="I4" t="n">
        <v>245.83</v>
      </c>
      <c r="J4" t="n">
        <v>108.33</v>
      </c>
      <c r="K4" t="n">
        <v>0</v>
      </c>
      <c r="L4" t="n">
        <v>0</v>
      </c>
      <c r="M4" t="n">
        <v>0</v>
      </c>
      <c r="N4" t="n">
        <v>0</v>
      </c>
      <c r="O4" t="n">
        <v>2831.25</v>
      </c>
      <c r="P4" t="n">
        <v>1368.75</v>
      </c>
      <c r="Q4" t="n">
        <v>0</v>
      </c>
      <c r="R4" t="n">
        <v>3577.24</v>
      </c>
      <c r="S4" t="n">
        <v>0</v>
      </c>
      <c r="T4" t="n">
        <v>0</v>
      </c>
      <c r="U4" t="n">
        <v>0</v>
      </c>
      <c r="V4" t="n">
        <v>108.33</v>
      </c>
      <c r="W4" t="n">
        <v>0</v>
      </c>
      <c r="X4" t="n">
        <v>0</v>
      </c>
      <c r="Y4" t="n">
        <v>0</v>
      </c>
      <c r="Z4" t="n">
        <v>0</v>
      </c>
      <c r="AA4" t="n">
        <v>22212.04</v>
      </c>
    </row>
    <row r="5">
      <c r="A5" t="n">
        <v>4</v>
      </c>
      <c r="B5" t="n">
        <v>0</v>
      </c>
      <c r="C5" t="n">
        <v>0</v>
      </c>
      <c r="D5" t="n">
        <v>3750</v>
      </c>
      <c r="E5" t="n">
        <v>1125</v>
      </c>
      <c r="F5" t="n">
        <v>2600</v>
      </c>
      <c r="G5" t="n">
        <v>0</v>
      </c>
      <c r="H5" t="n">
        <v>373.75</v>
      </c>
      <c r="I5" t="n">
        <v>245.83</v>
      </c>
      <c r="J5" t="n">
        <v>108.33</v>
      </c>
      <c r="K5" t="n">
        <v>0</v>
      </c>
      <c r="L5" t="n">
        <v>10000</v>
      </c>
      <c r="M5" t="n">
        <v>2100</v>
      </c>
      <c r="N5" t="n">
        <v>0</v>
      </c>
      <c r="O5" t="n">
        <v>2831.25</v>
      </c>
      <c r="P5" t="n">
        <v>1368.75</v>
      </c>
      <c r="Q5" t="n">
        <v>2025</v>
      </c>
      <c r="R5" t="n">
        <v>3577.24</v>
      </c>
      <c r="S5" t="n">
        <v>0</v>
      </c>
      <c r="T5" t="n">
        <v>0</v>
      </c>
      <c r="U5" t="n">
        <v>0</v>
      </c>
      <c r="V5" t="n">
        <v>108.33</v>
      </c>
      <c r="W5" t="n">
        <v>0</v>
      </c>
      <c r="X5" t="n">
        <v>0</v>
      </c>
      <c r="Y5" t="n">
        <v>0</v>
      </c>
      <c r="Z5" t="n">
        <v>0</v>
      </c>
      <c r="AA5" t="n">
        <v>12301.47</v>
      </c>
    </row>
    <row r="6">
      <c r="A6" t="n">
        <v>5</v>
      </c>
      <c r="B6" t="n">
        <v>20000</v>
      </c>
      <c r="C6" t="n">
        <v>1637.5</v>
      </c>
      <c r="D6" t="n">
        <v>3750</v>
      </c>
      <c r="E6" t="n">
        <v>1125</v>
      </c>
      <c r="F6" t="n">
        <v>2600</v>
      </c>
      <c r="G6" t="n">
        <v>0</v>
      </c>
      <c r="H6" t="n">
        <v>373.75</v>
      </c>
      <c r="I6" t="n">
        <v>245.83</v>
      </c>
      <c r="J6" t="n">
        <v>108.33</v>
      </c>
      <c r="K6" t="n">
        <v>0</v>
      </c>
      <c r="L6" t="n">
        <v>29650</v>
      </c>
      <c r="M6" t="n">
        <v>6226.5</v>
      </c>
      <c r="N6" t="n">
        <v>12100</v>
      </c>
      <c r="O6" t="n">
        <v>2831.25</v>
      </c>
      <c r="P6" t="n">
        <v>1368.75</v>
      </c>
      <c r="Q6" t="n">
        <v>0</v>
      </c>
      <c r="R6" t="n">
        <v>3577.24</v>
      </c>
      <c r="S6" t="n">
        <v>0</v>
      </c>
      <c r="T6" t="n">
        <v>0</v>
      </c>
      <c r="U6" t="n">
        <v>0</v>
      </c>
      <c r="V6" t="n">
        <v>108.33</v>
      </c>
      <c r="W6" t="n">
        <v>0</v>
      </c>
      <c r="X6" t="n">
        <v>0</v>
      </c>
      <c r="Y6" t="n">
        <v>0</v>
      </c>
      <c r="Z6" t="n">
        <v>0</v>
      </c>
      <c r="AA6" t="n">
        <v>16515.9</v>
      </c>
    </row>
    <row r="7">
      <c r="A7" t="n">
        <v>6</v>
      </c>
      <c r="B7" t="n">
        <v>0</v>
      </c>
      <c r="C7" t="n">
        <v>1637.5</v>
      </c>
      <c r="D7" t="n">
        <v>7500</v>
      </c>
      <c r="E7" t="n">
        <v>2250</v>
      </c>
      <c r="F7" t="n">
        <v>2600</v>
      </c>
      <c r="G7" t="n">
        <v>0</v>
      </c>
      <c r="H7" t="n">
        <v>617.5</v>
      </c>
      <c r="I7" t="n">
        <v>245.83</v>
      </c>
      <c r="J7" t="n">
        <v>283.33</v>
      </c>
      <c r="K7" t="n">
        <v>0</v>
      </c>
      <c r="L7" t="n">
        <v>10000</v>
      </c>
      <c r="M7" t="n">
        <v>2100</v>
      </c>
      <c r="N7" t="n">
        <v>35876.5</v>
      </c>
      <c r="O7" t="n">
        <v>5662.5</v>
      </c>
      <c r="P7" t="n">
        <v>1368.75</v>
      </c>
      <c r="Q7" t="n">
        <v>0</v>
      </c>
      <c r="R7" t="n">
        <v>3872.18</v>
      </c>
      <c r="S7" t="n">
        <v>0</v>
      </c>
      <c r="T7" t="n">
        <v>0</v>
      </c>
      <c r="U7" t="n">
        <v>0</v>
      </c>
      <c r="V7" t="n">
        <v>283.33</v>
      </c>
      <c r="W7" t="n">
        <v>0</v>
      </c>
      <c r="X7" t="n">
        <v>0</v>
      </c>
      <c r="Y7" t="n">
        <v>0</v>
      </c>
      <c r="Z7" t="n">
        <v>35000</v>
      </c>
      <c r="AA7" t="n">
        <v>76205.64</v>
      </c>
    </row>
    <row r="8">
      <c r="A8" t="n">
        <v>7</v>
      </c>
      <c r="B8" t="n">
        <v>20000</v>
      </c>
      <c r="C8" t="n">
        <v>3275</v>
      </c>
      <c r="D8" t="n">
        <v>7500</v>
      </c>
      <c r="E8" t="n">
        <v>2250</v>
      </c>
      <c r="F8" t="n">
        <v>2600</v>
      </c>
      <c r="G8" t="n">
        <v>0</v>
      </c>
      <c r="H8" t="n">
        <v>617.5</v>
      </c>
      <c r="I8" t="n">
        <v>245.83</v>
      </c>
      <c r="J8" t="n">
        <v>283.33</v>
      </c>
      <c r="K8" t="n">
        <v>0</v>
      </c>
      <c r="L8" t="n">
        <v>29650</v>
      </c>
      <c r="M8" t="n">
        <v>6226.5</v>
      </c>
      <c r="N8" t="n">
        <v>12100</v>
      </c>
      <c r="O8" t="n">
        <v>5662.5</v>
      </c>
      <c r="P8" t="n">
        <v>2737.5</v>
      </c>
      <c r="Q8" t="n">
        <v>2700</v>
      </c>
      <c r="R8" t="n">
        <v>3872.18</v>
      </c>
      <c r="S8" t="n">
        <v>6754.39</v>
      </c>
      <c r="T8" t="n">
        <v>0</v>
      </c>
      <c r="U8" t="n">
        <v>0</v>
      </c>
      <c r="V8" t="n">
        <v>108.33</v>
      </c>
      <c r="W8" t="n">
        <v>0</v>
      </c>
      <c r="X8" t="n">
        <v>0</v>
      </c>
      <c r="Y8" t="n">
        <v>0</v>
      </c>
      <c r="Z8" t="n">
        <v>0</v>
      </c>
      <c r="AA8" t="n">
        <v>66470.74000000001</v>
      </c>
    </row>
    <row r="9">
      <c r="A9" t="n">
        <v>8</v>
      </c>
      <c r="B9" t="n">
        <v>0</v>
      </c>
      <c r="C9" t="n">
        <v>3275</v>
      </c>
      <c r="D9" t="n">
        <v>7500</v>
      </c>
      <c r="E9" t="n">
        <v>2250</v>
      </c>
      <c r="F9" t="n">
        <v>2600</v>
      </c>
      <c r="G9" t="n">
        <v>0</v>
      </c>
      <c r="H9" t="n">
        <v>617.5</v>
      </c>
      <c r="I9" t="n">
        <v>245.83</v>
      </c>
      <c r="J9" t="n">
        <v>283.33</v>
      </c>
      <c r="K9" t="n">
        <v>0</v>
      </c>
      <c r="L9" t="n">
        <v>10000</v>
      </c>
      <c r="M9" t="n">
        <v>2100</v>
      </c>
      <c r="N9" t="n">
        <v>35876.5</v>
      </c>
      <c r="O9" t="n">
        <v>5662.5</v>
      </c>
      <c r="P9" t="n">
        <v>2737.5</v>
      </c>
      <c r="Q9" t="n">
        <v>0</v>
      </c>
      <c r="R9" t="n">
        <v>3872.18</v>
      </c>
      <c r="S9" t="n">
        <v>0</v>
      </c>
      <c r="T9" t="n">
        <v>0</v>
      </c>
      <c r="U9" t="n">
        <v>0</v>
      </c>
      <c r="V9" t="n">
        <v>108.33</v>
      </c>
      <c r="W9" t="n">
        <v>0</v>
      </c>
      <c r="X9" t="n">
        <v>0</v>
      </c>
      <c r="Y9" t="n">
        <v>0</v>
      </c>
      <c r="Z9" t="n">
        <v>0</v>
      </c>
      <c r="AA9" t="n">
        <v>89966.73</v>
      </c>
    </row>
    <row r="10">
      <c r="A10" t="n">
        <v>9</v>
      </c>
      <c r="B10" t="n">
        <v>20000</v>
      </c>
      <c r="C10" t="n">
        <v>4912.5</v>
      </c>
      <c r="D10" t="n">
        <v>7500</v>
      </c>
      <c r="E10" t="n">
        <v>2250</v>
      </c>
      <c r="F10" t="n">
        <v>2600</v>
      </c>
      <c r="G10" t="n">
        <v>0</v>
      </c>
      <c r="H10" t="n">
        <v>617.5</v>
      </c>
      <c r="I10" t="n">
        <v>245.83</v>
      </c>
      <c r="J10" t="n">
        <v>283.33</v>
      </c>
      <c r="K10" t="n">
        <v>0</v>
      </c>
      <c r="L10" t="n">
        <v>29650</v>
      </c>
      <c r="M10" t="n">
        <v>6226.5</v>
      </c>
      <c r="N10" t="n">
        <v>12100</v>
      </c>
      <c r="O10" t="n">
        <v>5662.5</v>
      </c>
      <c r="P10" t="n">
        <v>2737.5</v>
      </c>
      <c r="Q10" t="n">
        <v>0</v>
      </c>
      <c r="R10" t="n">
        <v>3872.18</v>
      </c>
      <c r="S10" t="n">
        <v>0</v>
      </c>
      <c r="T10" t="n">
        <v>0</v>
      </c>
      <c r="U10" t="n">
        <v>0</v>
      </c>
      <c r="V10" t="n">
        <v>633.33</v>
      </c>
      <c r="W10" t="n">
        <v>0</v>
      </c>
      <c r="X10" t="n">
        <v>0</v>
      </c>
      <c r="Y10" t="n">
        <v>0</v>
      </c>
      <c r="Z10" t="n">
        <v>0</v>
      </c>
      <c r="AA10" t="n">
        <v>89161.23</v>
      </c>
    </row>
    <row r="11">
      <c r="A11" t="n">
        <v>10</v>
      </c>
      <c r="B11" t="n">
        <v>0</v>
      </c>
      <c r="C11" t="n">
        <v>4912.5</v>
      </c>
      <c r="D11" t="n">
        <v>7500</v>
      </c>
      <c r="E11" t="n">
        <v>2250</v>
      </c>
      <c r="F11" t="n">
        <v>2600</v>
      </c>
      <c r="G11" t="n">
        <v>0</v>
      </c>
      <c r="H11" t="n">
        <v>617.5</v>
      </c>
      <c r="I11" t="n">
        <v>245.83</v>
      </c>
      <c r="J11" t="n">
        <v>283.33</v>
      </c>
      <c r="K11" t="n">
        <v>0</v>
      </c>
      <c r="L11" t="n">
        <v>0</v>
      </c>
      <c r="M11" t="n">
        <v>0</v>
      </c>
      <c r="N11" t="n">
        <v>35876.5</v>
      </c>
      <c r="O11" t="n">
        <v>5662.5</v>
      </c>
      <c r="P11" t="n">
        <v>2737.5</v>
      </c>
      <c r="Q11" t="n">
        <v>4050</v>
      </c>
      <c r="R11" t="n">
        <v>3872.18</v>
      </c>
      <c r="S11" t="n">
        <v>12588.98</v>
      </c>
      <c r="T11" t="n">
        <v>0</v>
      </c>
      <c r="U11" t="n">
        <v>0</v>
      </c>
      <c r="V11" t="n">
        <v>108.33</v>
      </c>
      <c r="W11" t="n">
        <v>0</v>
      </c>
      <c r="X11" t="n">
        <v>0</v>
      </c>
      <c r="Y11" t="n">
        <v>0</v>
      </c>
      <c r="Z11" t="n">
        <v>0</v>
      </c>
      <c r="AA11" t="n">
        <v>96018.24000000001</v>
      </c>
    </row>
    <row r="12">
      <c r="A12" t="n">
        <v>11</v>
      </c>
      <c r="B12" t="n">
        <v>0</v>
      </c>
      <c r="C12" t="n">
        <v>4912.5</v>
      </c>
      <c r="D12" t="n">
        <v>7500</v>
      </c>
      <c r="E12" t="n">
        <v>2250</v>
      </c>
      <c r="F12" t="n">
        <v>2600</v>
      </c>
      <c r="G12" t="n">
        <v>0</v>
      </c>
      <c r="H12" t="n">
        <v>617.5</v>
      </c>
      <c r="I12" t="n">
        <v>245.83</v>
      </c>
      <c r="J12" t="n">
        <v>283.33</v>
      </c>
      <c r="K12" t="n">
        <v>0</v>
      </c>
      <c r="L12" t="n">
        <v>0</v>
      </c>
      <c r="M12" t="n">
        <v>0</v>
      </c>
      <c r="N12" t="n">
        <v>0</v>
      </c>
      <c r="O12" t="n">
        <v>5662.5</v>
      </c>
      <c r="P12" t="n">
        <v>2737.5</v>
      </c>
      <c r="Q12" t="n">
        <v>0</v>
      </c>
      <c r="R12" t="n">
        <v>3872.18</v>
      </c>
      <c r="S12" t="n">
        <v>0</v>
      </c>
      <c r="T12" t="n">
        <v>0</v>
      </c>
      <c r="U12" t="n">
        <v>0</v>
      </c>
      <c r="V12" t="n">
        <v>108.33</v>
      </c>
      <c r="W12" t="n">
        <v>0</v>
      </c>
      <c r="X12" t="n">
        <v>0</v>
      </c>
      <c r="Y12" t="n">
        <v>0</v>
      </c>
      <c r="Z12" t="n">
        <v>0</v>
      </c>
      <c r="AA12" t="n">
        <v>83637.73</v>
      </c>
    </row>
    <row r="13">
      <c r="A13" t="n">
        <v>12</v>
      </c>
      <c r="B13" t="n">
        <v>0</v>
      </c>
      <c r="C13" t="n">
        <v>4912.5</v>
      </c>
      <c r="D13" t="n">
        <v>7500</v>
      </c>
      <c r="E13" t="n">
        <v>2250</v>
      </c>
      <c r="F13" t="n">
        <v>2600</v>
      </c>
      <c r="G13" t="n">
        <v>0</v>
      </c>
      <c r="H13" t="n">
        <v>617.5</v>
      </c>
      <c r="I13" t="n">
        <v>245.83</v>
      </c>
      <c r="J13" t="n">
        <v>283.33</v>
      </c>
      <c r="K13" t="n">
        <v>0</v>
      </c>
      <c r="L13" t="n">
        <v>0</v>
      </c>
      <c r="M13" t="n">
        <v>0</v>
      </c>
      <c r="N13" t="n">
        <v>0</v>
      </c>
      <c r="O13" t="n">
        <v>5662.5</v>
      </c>
      <c r="P13" t="n">
        <v>2737.5</v>
      </c>
      <c r="Q13" t="n">
        <v>0</v>
      </c>
      <c r="R13" t="n">
        <v>3872.18</v>
      </c>
      <c r="S13" t="n">
        <v>0</v>
      </c>
      <c r="T13" t="n">
        <v>0</v>
      </c>
      <c r="U13" t="n">
        <v>0</v>
      </c>
      <c r="V13" t="n">
        <v>633.33</v>
      </c>
      <c r="W13" t="n">
        <v>0</v>
      </c>
      <c r="X13" t="n">
        <v>250000</v>
      </c>
      <c r="Y13" t="n">
        <v>3630</v>
      </c>
      <c r="Z13" t="n">
        <v>0</v>
      </c>
      <c r="AA13" t="n">
        <v>317102.22</v>
      </c>
    </row>
    <row r="14">
      <c r="A14" t="n">
        <v>13</v>
      </c>
      <c r="B14" t="n">
        <v>0</v>
      </c>
      <c r="C14" t="n">
        <v>4912.5</v>
      </c>
      <c r="D14" t="n">
        <v>10000</v>
      </c>
      <c r="E14" t="n">
        <v>3000</v>
      </c>
      <c r="F14" t="n">
        <v>4733.33</v>
      </c>
      <c r="G14" t="n">
        <v>491.25</v>
      </c>
      <c r="H14" t="n">
        <v>911.23</v>
      </c>
      <c r="I14" t="n">
        <v>291.67</v>
      </c>
      <c r="J14" t="n">
        <v>283.33</v>
      </c>
      <c r="K14" t="n">
        <v>0</v>
      </c>
      <c r="L14" t="n">
        <v>10000</v>
      </c>
      <c r="M14" t="n">
        <v>2100</v>
      </c>
      <c r="N14" t="n">
        <v>0</v>
      </c>
      <c r="O14" t="n">
        <v>7550</v>
      </c>
      <c r="P14" t="n">
        <v>2737.5</v>
      </c>
      <c r="Q14" t="n">
        <v>4050</v>
      </c>
      <c r="R14" t="n">
        <v>7389.33</v>
      </c>
      <c r="S14" t="n">
        <v>0</v>
      </c>
      <c r="T14" t="n">
        <v>0</v>
      </c>
      <c r="U14" t="n">
        <v>3025</v>
      </c>
      <c r="V14" t="n">
        <v>108.33</v>
      </c>
      <c r="W14" t="n">
        <v>416.67</v>
      </c>
      <c r="X14" t="n">
        <v>0</v>
      </c>
      <c r="Y14" t="n">
        <v>0</v>
      </c>
      <c r="Z14" t="n">
        <v>0</v>
      </c>
      <c r="AA14" t="n">
        <v>291825.39</v>
      </c>
    </row>
    <row r="15">
      <c r="A15" t="n">
        <v>14</v>
      </c>
      <c r="B15" t="n">
        <v>20000</v>
      </c>
      <c r="C15" t="n">
        <v>6550</v>
      </c>
      <c r="D15" t="n">
        <v>10000</v>
      </c>
      <c r="E15" t="n">
        <v>3000</v>
      </c>
      <c r="F15" t="n">
        <v>4733.33</v>
      </c>
      <c r="G15" t="n">
        <v>655</v>
      </c>
      <c r="H15" t="n">
        <v>919.42</v>
      </c>
      <c r="I15" t="n">
        <v>300</v>
      </c>
      <c r="J15" t="n">
        <v>281.08</v>
      </c>
      <c r="K15" t="n">
        <v>0</v>
      </c>
      <c r="L15" t="n">
        <v>29650</v>
      </c>
      <c r="M15" t="n">
        <v>6226.5</v>
      </c>
      <c r="N15" t="n">
        <v>12100</v>
      </c>
      <c r="O15" t="n">
        <v>7550</v>
      </c>
      <c r="P15" t="n">
        <v>3650</v>
      </c>
      <c r="Q15" t="n">
        <v>0</v>
      </c>
      <c r="R15" t="n">
        <v>7597.38</v>
      </c>
      <c r="S15" t="n">
        <v>0</v>
      </c>
      <c r="T15" t="n">
        <v>0</v>
      </c>
      <c r="U15" t="n">
        <v>1210</v>
      </c>
      <c r="V15" t="n">
        <v>106.08</v>
      </c>
      <c r="W15" t="n">
        <v>416.67</v>
      </c>
      <c r="X15" t="n">
        <v>0</v>
      </c>
      <c r="Y15" t="n">
        <v>0</v>
      </c>
      <c r="Z15" t="n">
        <v>0</v>
      </c>
      <c r="AA15" t="n">
        <v>283395.27</v>
      </c>
    </row>
    <row r="16">
      <c r="A16" t="n">
        <v>15</v>
      </c>
      <c r="B16" t="n">
        <v>0</v>
      </c>
      <c r="C16" t="n">
        <v>6550</v>
      </c>
      <c r="D16" t="n">
        <v>10000</v>
      </c>
      <c r="E16" t="n">
        <v>3000</v>
      </c>
      <c r="F16" t="n">
        <v>4733.33</v>
      </c>
      <c r="G16" t="n">
        <v>655</v>
      </c>
      <c r="H16" t="n">
        <v>919.42</v>
      </c>
      <c r="I16" t="n">
        <v>300</v>
      </c>
      <c r="J16" t="n">
        <v>278.82</v>
      </c>
      <c r="K16" t="n">
        <v>0</v>
      </c>
      <c r="L16" t="n">
        <v>10000</v>
      </c>
      <c r="M16" t="n">
        <v>2100</v>
      </c>
      <c r="N16" t="n">
        <v>35876.5</v>
      </c>
      <c r="O16" t="n">
        <v>7550</v>
      </c>
      <c r="P16" t="n">
        <v>3650</v>
      </c>
      <c r="Q16" t="n">
        <v>0</v>
      </c>
      <c r="R16" t="n">
        <v>7597.38</v>
      </c>
      <c r="S16" t="n">
        <v>0</v>
      </c>
      <c r="T16" t="n">
        <v>0</v>
      </c>
      <c r="U16" t="n">
        <v>0</v>
      </c>
      <c r="V16" t="n">
        <v>628.8200000000001</v>
      </c>
      <c r="W16" t="n">
        <v>416.67</v>
      </c>
      <c r="X16" t="n">
        <v>0</v>
      </c>
      <c r="Y16" t="n">
        <v>0</v>
      </c>
      <c r="Z16" t="n">
        <v>0</v>
      </c>
      <c r="AA16" t="n">
        <v>299428.91</v>
      </c>
    </row>
    <row r="17">
      <c r="A17" t="n">
        <v>16</v>
      </c>
      <c r="B17" t="n">
        <v>20000</v>
      </c>
      <c r="C17" t="n">
        <v>8187.5</v>
      </c>
      <c r="D17" t="n">
        <v>10000</v>
      </c>
      <c r="E17" t="n">
        <v>3000</v>
      </c>
      <c r="F17" t="n">
        <v>4733.33</v>
      </c>
      <c r="G17" t="n">
        <v>818.75</v>
      </c>
      <c r="H17" t="n">
        <v>927.6</v>
      </c>
      <c r="I17" t="n">
        <v>300</v>
      </c>
      <c r="J17" t="n">
        <v>276.56</v>
      </c>
      <c r="K17" t="n">
        <v>0</v>
      </c>
      <c r="L17" t="n">
        <v>29650</v>
      </c>
      <c r="M17" t="n">
        <v>6226.5</v>
      </c>
      <c r="N17" t="n">
        <v>12100</v>
      </c>
      <c r="O17" t="n">
        <v>7550</v>
      </c>
      <c r="P17" t="n">
        <v>3650</v>
      </c>
      <c r="Q17" t="n">
        <v>5400</v>
      </c>
      <c r="R17" t="n">
        <v>7805.42</v>
      </c>
      <c r="S17" t="n">
        <v>3264.7</v>
      </c>
      <c r="T17" t="n">
        <v>0</v>
      </c>
      <c r="U17" t="n">
        <v>0</v>
      </c>
      <c r="V17" t="n">
        <v>101.56</v>
      </c>
      <c r="W17" t="n">
        <v>416.67</v>
      </c>
      <c r="X17" t="n">
        <v>0</v>
      </c>
      <c r="Y17" t="n">
        <v>0</v>
      </c>
      <c r="Z17" t="n">
        <v>0</v>
      </c>
      <c r="AA17" t="n">
        <v>283340.56</v>
      </c>
    </row>
    <row r="18">
      <c r="A18" t="n">
        <v>17</v>
      </c>
      <c r="B18" t="n">
        <v>0</v>
      </c>
      <c r="C18" t="n">
        <v>8187.5</v>
      </c>
      <c r="D18" t="n">
        <v>10000</v>
      </c>
      <c r="E18" t="n">
        <v>3000</v>
      </c>
      <c r="F18" t="n">
        <v>4733.33</v>
      </c>
      <c r="G18" t="n">
        <v>818.75</v>
      </c>
      <c r="H18" t="n">
        <v>927.6</v>
      </c>
      <c r="I18" t="n">
        <v>300</v>
      </c>
      <c r="J18" t="n">
        <v>274.31</v>
      </c>
      <c r="K18" t="n">
        <v>0</v>
      </c>
      <c r="L18" t="n">
        <v>29650</v>
      </c>
      <c r="M18" t="n">
        <v>6226.5</v>
      </c>
      <c r="N18" t="n">
        <v>35876.5</v>
      </c>
      <c r="O18" t="n">
        <v>7550</v>
      </c>
      <c r="P18" t="n">
        <v>3650</v>
      </c>
      <c r="Q18" t="n">
        <v>0</v>
      </c>
      <c r="R18" t="n">
        <v>7805.42</v>
      </c>
      <c r="S18" t="n">
        <v>0</v>
      </c>
      <c r="T18" t="n">
        <v>0</v>
      </c>
      <c r="U18" t="n">
        <v>0</v>
      </c>
      <c r="V18" t="n">
        <v>99.31</v>
      </c>
      <c r="W18" t="n">
        <v>416.67</v>
      </c>
      <c r="X18" t="n">
        <v>0</v>
      </c>
      <c r="Y18" t="n">
        <v>0</v>
      </c>
      <c r="Z18" t="n">
        <v>0</v>
      </c>
      <c r="AA18" t="n">
        <v>299695.66</v>
      </c>
    </row>
    <row r="19">
      <c r="A19" t="n">
        <v>18</v>
      </c>
      <c r="B19" t="n">
        <v>20000</v>
      </c>
      <c r="C19" t="n">
        <v>9825</v>
      </c>
      <c r="D19" t="n">
        <v>10000</v>
      </c>
      <c r="E19" t="n">
        <v>3000</v>
      </c>
      <c r="F19" t="n">
        <v>4733.33</v>
      </c>
      <c r="G19" t="n">
        <v>982.5</v>
      </c>
      <c r="H19" t="n">
        <v>935.79</v>
      </c>
      <c r="I19" t="n">
        <v>300</v>
      </c>
      <c r="J19" t="n">
        <v>272.05</v>
      </c>
      <c r="K19" t="n">
        <v>0</v>
      </c>
      <c r="L19" t="n">
        <v>29650</v>
      </c>
      <c r="M19" t="n">
        <v>6226.5</v>
      </c>
      <c r="N19" t="n">
        <v>35876.5</v>
      </c>
      <c r="O19" t="n">
        <v>7550</v>
      </c>
      <c r="P19" t="n">
        <v>3650</v>
      </c>
      <c r="Q19" t="n">
        <v>0</v>
      </c>
      <c r="R19" t="n">
        <v>8013.47</v>
      </c>
      <c r="S19" t="n">
        <v>0</v>
      </c>
      <c r="T19" t="n">
        <v>0</v>
      </c>
      <c r="U19" t="n">
        <v>0</v>
      </c>
      <c r="V19" t="n">
        <v>622.05</v>
      </c>
      <c r="W19" t="n">
        <v>416.67</v>
      </c>
      <c r="X19" t="n">
        <v>0</v>
      </c>
      <c r="Y19" t="n">
        <v>0</v>
      </c>
      <c r="Z19" t="n">
        <v>0</v>
      </c>
      <c r="AA19" t="n">
        <v>315319.98</v>
      </c>
    </row>
    <row r="20">
      <c r="A20" t="n">
        <v>19</v>
      </c>
      <c r="B20" t="n">
        <v>0</v>
      </c>
      <c r="C20" t="n">
        <v>9825</v>
      </c>
      <c r="D20" t="n">
        <v>10000</v>
      </c>
      <c r="E20" t="n">
        <v>3000</v>
      </c>
      <c r="F20" t="n">
        <v>4733.33</v>
      </c>
      <c r="G20" t="n">
        <v>982.5</v>
      </c>
      <c r="H20" t="n">
        <v>935.79</v>
      </c>
      <c r="I20" t="n">
        <v>300</v>
      </c>
      <c r="J20" t="n">
        <v>269.79</v>
      </c>
      <c r="K20" t="n">
        <v>0</v>
      </c>
      <c r="L20" t="n">
        <v>29650</v>
      </c>
      <c r="M20" t="n">
        <v>6226.5</v>
      </c>
      <c r="N20" t="n">
        <v>35876.5</v>
      </c>
      <c r="O20" t="n">
        <v>7550</v>
      </c>
      <c r="P20" t="n">
        <v>3650</v>
      </c>
      <c r="Q20" t="n">
        <v>5400</v>
      </c>
      <c r="R20" t="n">
        <v>8013.47</v>
      </c>
      <c r="S20" t="n">
        <v>14666.19</v>
      </c>
      <c r="T20" t="n">
        <v>0</v>
      </c>
      <c r="U20" t="n">
        <v>0</v>
      </c>
      <c r="V20" t="n">
        <v>94.79000000000001</v>
      </c>
      <c r="W20" t="n">
        <v>416.67</v>
      </c>
      <c r="X20" t="n">
        <v>0</v>
      </c>
      <c r="Y20" t="n">
        <v>0</v>
      </c>
      <c r="Z20" t="n">
        <v>0</v>
      </c>
      <c r="AA20" t="n">
        <v>311405.37</v>
      </c>
    </row>
    <row r="21">
      <c r="A21" t="n">
        <v>20</v>
      </c>
      <c r="B21" t="n">
        <v>20000</v>
      </c>
      <c r="C21" t="n">
        <v>11462.5</v>
      </c>
      <c r="D21" t="n">
        <v>10000</v>
      </c>
      <c r="E21" t="n">
        <v>3000</v>
      </c>
      <c r="F21" t="n">
        <v>4733.33</v>
      </c>
      <c r="G21" t="n">
        <v>1146.25</v>
      </c>
      <c r="H21" t="n">
        <v>943.98</v>
      </c>
      <c r="I21" t="n">
        <v>300</v>
      </c>
      <c r="J21" t="n">
        <v>267.53</v>
      </c>
      <c r="K21" t="n">
        <v>0</v>
      </c>
      <c r="L21" t="n">
        <v>29650</v>
      </c>
      <c r="M21" t="n">
        <v>6226.5</v>
      </c>
      <c r="N21" t="n">
        <v>35876.5</v>
      </c>
      <c r="O21" t="n">
        <v>7550</v>
      </c>
      <c r="P21" t="n">
        <v>3650</v>
      </c>
      <c r="Q21" t="n">
        <v>0</v>
      </c>
      <c r="R21" t="n">
        <v>8221.51</v>
      </c>
      <c r="S21" t="n">
        <v>0</v>
      </c>
      <c r="T21" t="n">
        <v>0</v>
      </c>
      <c r="U21" t="n">
        <v>0</v>
      </c>
      <c r="V21" t="n">
        <v>92.53</v>
      </c>
      <c r="W21" t="n">
        <v>416.67</v>
      </c>
      <c r="X21" t="n">
        <v>0</v>
      </c>
      <c r="Y21" t="n">
        <v>0</v>
      </c>
      <c r="Z21" t="n">
        <v>0</v>
      </c>
      <c r="AA21" t="n">
        <v>327351.16</v>
      </c>
    </row>
    <row r="22">
      <c r="A22" t="n">
        <v>21</v>
      </c>
      <c r="B22" t="n">
        <v>0</v>
      </c>
      <c r="C22" t="n">
        <v>9825</v>
      </c>
      <c r="D22" t="n">
        <v>10000</v>
      </c>
      <c r="E22" t="n">
        <v>3000</v>
      </c>
      <c r="F22" t="n">
        <v>4733.33</v>
      </c>
      <c r="G22" t="n">
        <v>982.5</v>
      </c>
      <c r="H22" t="n">
        <v>935.79</v>
      </c>
      <c r="I22" t="n">
        <v>300</v>
      </c>
      <c r="J22" t="n">
        <v>265.28</v>
      </c>
      <c r="K22" t="n">
        <v>0</v>
      </c>
      <c r="L22" t="n">
        <v>10000</v>
      </c>
      <c r="M22" t="n">
        <v>2100</v>
      </c>
      <c r="N22" t="n">
        <v>35876.5</v>
      </c>
      <c r="O22" t="n">
        <v>7550</v>
      </c>
      <c r="P22" t="n">
        <v>3650</v>
      </c>
      <c r="Q22" t="n">
        <v>0</v>
      </c>
      <c r="R22" t="n">
        <v>8013.47</v>
      </c>
      <c r="S22" t="n">
        <v>0</v>
      </c>
      <c r="T22" t="n">
        <v>0</v>
      </c>
      <c r="U22" t="n">
        <v>0</v>
      </c>
      <c r="V22" t="n">
        <v>615.28</v>
      </c>
      <c r="W22" t="n">
        <v>416.67</v>
      </c>
      <c r="X22" t="n">
        <v>0</v>
      </c>
      <c r="Y22" t="n">
        <v>0</v>
      </c>
      <c r="Z22" t="n">
        <v>0</v>
      </c>
      <c r="AA22" t="n">
        <v>342982.24</v>
      </c>
    </row>
    <row r="23">
      <c r="A23" t="n">
        <v>22</v>
      </c>
      <c r="B23" t="n">
        <v>20000</v>
      </c>
      <c r="C23" t="n">
        <v>11462.5</v>
      </c>
      <c r="D23" t="n">
        <v>10000</v>
      </c>
      <c r="E23" t="n">
        <v>3000</v>
      </c>
      <c r="F23" t="n">
        <v>4733.33</v>
      </c>
      <c r="G23" t="n">
        <v>1146.25</v>
      </c>
      <c r="H23" t="n">
        <v>943.98</v>
      </c>
      <c r="I23" t="n">
        <v>300</v>
      </c>
      <c r="J23" t="n">
        <v>263.02</v>
      </c>
      <c r="K23" t="n">
        <v>0</v>
      </c>
      <c r="L23" t="n">
        <v>29650</v>
      </c>
      <c r="M23" t="n">
        <v>6226.5</v>
      </c>
      <c r="N23" t="n">
        <v>12100</v>
      </c>
      <c r="O23" t="n">
        <v>7550</v>
      </c>
      <c r="P23" t="n">
        <v>3650</v>
      </c>
      <c r="Q23" t="n">
        <v>5400</v>
      </c>
      <c r="R23" t="n">
        <v>8221.51</v>
      </c>
      <c r="S23" t="n">
        <v>10431.37</v>
      </c>
      <c r="T23" t="n">
        <v>0</v>
      </c>
      <c r="U23" t="n">
        <v>0</v>
      </c>
      <c r="V23" t="n">
        <v>88.02</v>
      </c>
      <c r="W23" t="n">
        <v>416.67</v>
      </c>
      <c r="X23" t="n">
        <v>0</v>
      </c>
      <c r="Y23" t="n">
        <v>0</v>
      </c>
      <c r="Z23" t="n">
        <v>0</v>
      </c>
      <c r="AA23" t="n">
        <v>319324.68</v>
      </c>
    </row>
    <row r="24">
      <c r="A24" t="n">
        <v>23</v>
      </c>
      <c r="B24" t="n">
        <v>0</v>
      </c>
      <c r="C24" t="n">
        <v>11462.5</v>
      </c>
      <c r="D24" t="n">
        <v>10000</v>
      </c>
      <c r="E24" t="n">
        <v>3000</v>
      </c>
      <c r="F24" t="n">
        <v>4733.33</v>
      </c>
      <c r="G24" t="n">
        <v>1146.25</v>
      </c>
      <c r="H24" t="n">
        <v>943.98</v>
      </c>
      <c r="I24" t="n">
        <v>300</v>
      </c>
      <c r="J24" t="n">
        <v>260.76</v>
      </c>
      <c r="K24" t="n">
        <v>0</v>
      </c>
      <c r="L24" t="n">
        <v>10000</v>
      </c>
      <c r="M24" t="n">
        <v>2100</v>
      </c>
      <c r="N24" t="n">
        <v>35876.5</v>
      </c>
      <c r="O24" t="n">
        <v>7550</v>
      </c>
      <c r="P24" t="n">
        <v>3650</v>
      </c>
      <c r="Q24" t="n">
        <v>0</v>
      </c>
      <c r="R24" t="n">
        <v>8221.51</v>
      </c>
      <c r="S24" t="n">
        <v>0</v>
      </c>
      <c r="T24" t="n">
        <v>0</v>
      </c>
      <c r="U24" t="n">
        <v>0</v>
      </c>
      <c r="V24" t="n">
        <v>85.76000000000001</v>
      </c>
      <c r="W24" t="n">
        <v>416.67</v>
      </c>
      <c r="X24" t="n">
        <v>0</v>
      </c>
      <c r="Y24" t="n">
        <v>0</v>
      </c>
      <c r="Z24" t="n">
        <v>0</v>
      </c>
      <c r="AA24" t="n">
        <v>335277.24</v>
      </c>
    </row>
    <row r="25">
      <c r="A25" t="n">
        <v>24</v>
      </c>
      <c r="B25" t="n">
        <v>20000</v>
      </c>
      <c r="C25" t="n">
        <v>13100</v>
      </c>
      <c r="D25" t="n">
        <v>10000</v>
      </c>
      <c r="E25" t="n">
        <v>3000</v>
      </c>
      <c r="F25" t="n">
        <v>4733.33</v>
      </c>
      <c r="G25" t="n">
        <v>1310</v>
      </c>
      <c r="H25" t="n">
        <v>952.17</v>
      </c>
      <c r="I25" t="n">
        <v>300</v>
      </c>
      <c r="J25" t="n">
        <v>258.51</v>
      </c>
      <c r="K25" t="n">
        <v>0</v>
      </c>
      <c r="L25" t="n">
        <v>29650</v>
      </c>
      <c r="M25" t="n">
        <v>6226.5</v>
      </c>
      <c r="N25" t="n">
        <v>12100</v>
      </c>
      <c r="O25" t="n">
        <v>7550</v>
      </c>
      <c r="P25" t="n">
        <v>3650</v>
      </c>
      <c r="Q25" t="n">
        <v>0</v>
      </c>
      <c r="R25" t="n">
        <v>8429.559999999999</v>
      </c>
      <c r="S25" t="n">
        <v>0</v>
      </c>
      <c r="T25" t="n">
        <v>0</v>
      </c>
      <c r="U25" t="n">
        <v>0</v>
      </c>
      <c r="V25" t="n">
        <v>608.51</v>
      </c>
      <c r="W25" t="n">
        <v>416.67</v>
      </c>
      <c r="X25" t="n">
        <v>0</v>
      </c>
      <c r="Y25" t="n">
        <v>0</v>
      </c>
      <c r="Z25" t="n">
        <v>0</v>
      </c>
      <c r="AA25" t="n">
        <v>326722.51</v>
      </c>
    </row>
    <row r="26">
      <c r="A26" t="n">
        <v>25</v>
      </c>
      <c r="B26" t="n">
        <v>0</v>
      </c>
      <c r="C26" t="n">
        <v>13100</v>
      </c>
      <c r="D26" t="n">
        <v>13000</v>
      </c>
      <c r="E26" t="n">
        <v>3900</v>
      </c>
      <c r="F26" t="n">
        <v>6300</v>
      </c>
      <c r="G26" t="n">
        <v>1310</v>
      </c>
      <c r="H26" t="n">
        <v>1225.5</v>
      </c>
      <c r="I26" t="n">
        <v>345.83</v>
      </c>
      <c r="J26" t="n">
        <v>256.25</v>
      </c>
      <c r="K26" t="n">
        <v>0</v>
      </c>
      <c r="L26" t="n">
        <v>10000</v>
      </c>
      <c r="M26" t="n">
        <v>2100</v>
      </c>
      <c r="N26" t="n">
        <v>35876.5</v>
      </c>
      <c r="O26" t="n">
        <v>9815</v>
      </c>
      <c r="P26" t="n">
        <v>3650</v>
      </c>
      <c r="Q26" t="n">
        <v>5400</v>
      </c>
      <c r="R26" t="n">
        <v>10655.95</v>
      </c>
      <c r="S26" t="n">
        <v>10323.05</v>
      </c>
      <c r="T26" t="n">
        <v>0</v>
      </c>
      <c r="U26" t="n">
        <v>3025</v>
      </c>
      <c r="V26" t="n">
        <v>81.25</v>
      </c>
      <c r="W26" t="n">
        <v>416.67</v>
      </c>
      <c r="X26" t="n">
        <v>0</v>
      </c>
      <c r="Y26" t="n">
        <v>0</v>
      </c>
      <c r="Z26" t="n">
        <v>0</v>
      </c>
      <c r="AA26" t="n">
        <v>319232.09</v>
      </c>
    </row>
    <row r="27">
      <c r="A27" t="n">
        <v>26</v>
      </c>
      <c r="B27" t="n">
        <v>20000</v>
      </c>
      <c r="C27" t="n">
        <v>13100</v>
      </c>
      <c r="D27" t="n">
        <v>13000</v>
      </c>
      <c r="E27" t="n">
        <v>3900</v>
      </c>
      <c r="F27" t="n">
        <v>6300</v>
      </c>
      <c r="G27" t="n">
        <v>1310</v>
      </c>
      <c r="H27" t="n">
        <v>1225.5</v>
      </c>
      <c r="I27" t="n">
        <v>345.83</v>
      </c>
      <c r="J27" t="n">
        <v>253.99</v>
      </c>
      <c r="K27" t="n">
        <v>0</v>
      </c>
      <c r="L27" t="n">
        <v>39650</v>
      </c>
      <c r="M27" t="n">
        <v>8326.5</v>
      </c>
      <c r="N27" t="n">
        <v>12100</v>
      </c>
      <c r="O27" t="n">
        <v>9815</v>
      </c>
      <c r="P27" t="n">
        <v>4745</v>
      </c>
      <c r="Q27" t="n">
        <v>0</v>
      </c>
      <c r="R27" t="n">
        <v>10655.95</v>
      </c>
      <c r="S27" t="n">
        <v>0</v>
      </c>
      <c r="T27" t="n">
        <v>0</v>
      </c>
      <c r="U27" t="n">
        <v>0</v>
      </c>
      <c r="V27" t="n">
        <v>78.98999999999999</v>
      </c>
      <c r="W27" t="n">
        <v>416.67</v>
      </c>
      <c r="X27" t="n">
        <v>0</v>
      </c>
      <c r="Y27" t="n">
        <v>0</v>
      </c>
      <c r="Z27" t="n">
        <v>0</v>
      </c>
      <c r="AA27" t="n">
        <v>305620.47</v>
      </c>
    </row>
    <row r="28">
      <c r="A28" t="n">
        <v>27</v>
      </c>
      <c r="B28" t="n">
        <v>20000</v>
      </c>
      <c r="C28" t="n">
        <v>14737.5</v>
      </c>
      <c r="D28" t="n">
        <v>13000</v>
      </c>
      <c r="E28" t="n">
        <v>3900</v>
      </c>
      <c r="F28" t="n">
        <v>6300</v>
      </c>
      <c r="G28" t="n">
        <v>1473.75</v>
      </c>
      <c r="H28" t="n">
        <v>1233.69</v>
      </c>
      <c r="I28" t="n">
        <v>345.83</v>
      </c>
      <c r="J28" t="n">
        <v>251.74</v>
      </c>
      <c r="K28" t="n">
        <v>0</v>
      </c>
      <c r="L28" t="n">
        <v>29650</v>
      </c>
      <c r="M28" t="n">
        <v>6226.5</v>
      </c>
      <c r="N28" t="n">
        <v>47976.5</v>
      </c>
      <c r="O28" t="n">
        <v>9815</v>
      </c>
      <c r="P28" t="n">
        <v>4745</v>
      </c>
      <c r="Q28" t="n">
        <v>0</v>
      </c>
      <c r="R28" t="n">
        <v>10864</v>
      </c>
      <c r="S28" t="n">
        <v>0</v>
      </c>
      <c r="T28" t="n">
        <v>0</v>
      </c>
      <c r="U28" t="n">
        <v>0</v>
      </c>
      <c r="V28" t="n">
        <v>601.74</v>
      </c>
      <c r="W28" t="n">
        <v>416.67</v>
      </c>
      <c r="X28" t="n">
        <v>0</v>
      </c>
      <c r="Y28" t="n">
        <v>0</v>
      </c>
      <c r="Z28" t="n">
        <v>0</v>
      </c>
      <c r="AA28" t="n">
        <v>327154.57</v>
      </c>
    </row>
    <row r="29">
      <c r="A29" t="n">
        <v>28</v>
      </c>
      <c r="B29" t="n">
        <v>0</v>
      </c>
      <c r="C29" t="n">
        <v>14737.5</v>
      </c>
      <c r="D29" t="n">
        <v>13000</v>
      </c>
      <c r="E29" t="n">
        <v>3900</v>
      </c>
      <c r="F29" t="n">
        <v>6300</v>
      </c>
      <c r="G29" t="n">
        <v>1473.75</v>
      </c>
      <c r="H29" t="n">
        <v>1233.69</v>
      </c>
      <c r="I29" t="n">
        <v>345.83</v>
      </c>
      <c r="J29" t="n">
        <v>249.48</v>
      </c>
      <c r="K29" t="n">
        <v>0</v>
      </c>
      <c r="L29" t="n">
        <v>29650</v>
      </c>
      <c r="M29" t="n">
        <v>6226.5</v>
      </c>
      <c r="N29" t="n">
        <v>35876.5</v>
      </c>
      <c r="O29" t="n">
        <v>9815</v>
      </c>
      <c r="P29" t="n">
        <v>4745</v>
      </c>
      <c r="Q29" t="n">
        <v>7020</v>
      </c>
      <c r="R29" t="n">
        <v>10864</v>
      </c>
      <c r="S29" t="n">
        <v>10630.53</v>
      </c>
      <c r="T29" t="n">
        <v>0</v>
      </c>
      <c r="U29" t="n">
        <v>0</v>
      </c>
      <c r="V29" t="n">
        <v>74.48</v>
      </c>
      <c r="W29" t="n">
        <v>416.67</v>
      </c>
      <c r="X29" t="n">
        <v>0</v>
      </c>
      <c r="Y29" t="n">
        <v>0</v>
      </c>
      <c r="Z29" t="n">
        <v>0</v>
      </c>
      <c r="AA29" t="n">
        <v>319465.4</v>
      </c>
    </row>
    <row r="30">
      <c r="A30" t="n">
        <v>29</v>
      </c>
      <c r="B30" t="n">
        <v>20000</v>
      </c>
      <c r="C30" t="n">
        <v>16375</v>
      </c>
      <c r="D30" t="n">
        <v>13000</v>
      </c>
      <c r="E30" t="n">
        <v>3900</v>
      </c>
      <c r="F30" t="n">
        <v>6300</v>
      </c>
      <c r="G30" t="n">
        <v>1637.5</v>
      </c>
      <c r="H30" t="n">
        <v>1241.88</v>
      </c>
      <c r="I30" t="n">
        <v>345.83</v>
      </c>
      <c r="J30" t="n">
        <v>247.22</v>
      </c>
      <c r="K30" t="n">
        <v>0</v>
      </c>
      <c r="L30" t="n">
        <v>59300</v>
      </c>
      <c r="M30" t="n">
        <v>12453</v>
      </c>
      <c r="N30" t="n">
        <v>35876.5</v>
      </c>
      <c r="O30" t="n">
        <v>9815</v>
      </c>
      <c r="P30" t="n">
        <v>4745</v>
      </c>
      <c r="Q30" t="n">
        <v>0</v>
      </c>
      <c r="R30" t="n">
        <v>11072.04</v>
      </c>
      <c r="S30" t="n">
        <v>0</v>
      </c>
      <c r="T30" t="n">
        <v>0</v>
      </c>
      <c r="U30" t="n">
        <v>0</v>
      </c>
      <c r="V30" t="n">
        <v>72.22</v>
      </c>
      <c r="W30" t="n">
        <v>416.67</v>
      </c>
      <c r="X30" t="n">
        <v>0</v>
      </c>
      <c r="Y30" t="n">
        <v>0</v>
      </c>
      <c r="Z30" t="n">
        <v>0</v>
      </c>
      <c r="AA30" t="n">
        <v>329220.96</v>
      </c>
    </row>
    <row r="31">
      <c r="A31" t="n">
        <v>30</v>
      </c>
      <c r="B31" t="n">
        <v>20000</v>
      </c>
      <c r="C31" t="n">
        <v>18012.5</v>
      </c>
      <c r="D31" t="n">
        <v>13000</v>
      </c>
      <c r="E31" t="n">
        <v>3900</v>
      </c>
      <c r="F31" t="n">
        <v>6300</v>
      </c>
      <c r="G31" t="n">
        <v>1801.25</v>
      </c>
      <c r="H31" t="n">
        <v>1250.06</v>
      </c>
      <c r="I31" t="n">
        <v>345.83</v>
      </c>
      <c r="J31" t="n">
        <v>244.97</v>
      </c>
      <c r="K31" t="n">
        <v>0</v>
      </c>
      <c r="L31" t="n">
        <v>49300</v>
      </c>
      <c r="M31" t="n">
        <v>10353</v>
      </c>
      <c r="N31" t="n">
        <v>71753</v>
      </c>
      <c r="O31" t="n">
        <v>9815</v>
      </c>
      <c r="P31" t="n">
        <v>4745</v>
      </c>
      <c r="Q31" t="n">
        <v>0</v>
      </c>
      <c r="R31" t="n">
        <v>11280.09</v>
      </c>
      <c r="S31" t="n">
        <v>0</v>
      </c>
      <c r="T31" t="n">
        <v>0</v>
      </c>
      <c r="U31" t="n">
        <v>0</v>
      </c>
      <c r="V31" t="n">
        <v>594.97</v>
      </c>
      <c r="W31" t="n">
        <v>416.67</v>
      </c>
      <c r="X31" t="n">
        <v>0</v>
      </c>
      <c r="Y31" t="n">
        <v>0</v>
      </c>
      <c r="Z31" t="n">
        <v>0</v>
      </c>
      <c r="AA31" t="n">
        <v>374122.24</v>
      </c>
    </row>
    <row r="32">
      <c r="A32" t="n">
        <v>31</v>
      </c>
      <c r="B32" t="n">
        <v>0</v>
      </c>
      <c r="C32" t="n">
        <v>18012.5</v>
      </c>
      <c r="D32" t="n">
        <v>13000</v>
      </c>
      <c r="E32" t="n">
        <v>3900</v>
      </c>
      <c r="F32" t="n">
        <v>6300</v>
      </c>
      <c r="G32" t="n">
        <v>1801.25</v>
      </c>
      <c r="H32" t="n">
        <v>1250.06</v>
      </c>
      <c r="I32" t="n">
        <v>345.83</v>
      </c>
      <c r="J32" t="n">
        <v>242.71</v>
      </c>
      <c r="K32" t="n">
        <v>0</v>
      </c>
      <c r="L32" t="n">
        <v>29650</v>
      </c>
      <c r="M32" t="n">
        <v>6226.5</v>
      </c>
      <c r="N32" t="n">
        <v>59653</v>
      </c>
      <c r="O32" t="n">
        <v>9815</v>
      </c>
      <c r="P32" t="n">
        <v>4745</v>
      </c>
      <c r="Q32" t="n">
        <v>7020</v>
      </c>
      <c r="R32" t="n">
        <v>11280.09</v>
      </c>
      <c r="S32" t="n">
        <v>23354.49</v>
      </c>
      <c r="T32" t="n">
        <v>0</v>
      </c>
      <c r="U32" t="n">
        <v>0</v>
      </c>
      <c r="V32" t="n">
        <v>67.70999999999999</v>
      </c>
      <c r="W32" t="n">
        <v>416.67</v>
      </c>
      <c r="X32" t="n">
        <v>0</v>
      </c>
      <c r="Y32" t="n">
        <v>0</v>
      </c>
      <c r="Z32" t="n">
        <v>0</v>
      </c>
      <c r="AA32" t="n">
        <v>377076.29</v>
      </c>
    </row>
    <row r="33">
      <c r="A33" t="n">
        <v>32</v>
      </c>
      <c r="B33" t="n">
        <v>20000</v>
      </c>
      <c r="C33" t="n">
        <v>19650</v>
      </c>
      <c r="D33" t="n">
        <v>13000</v>
      </c>
      <c r="E33" t="n">
        <v>3900</v>
      </c>
      <c r="F33" t="n">
        <v>6300</v>
      </c>
      <c r="G33" t="n">
        <v>1965</v>
      </c>
      <c r="H33" t="n">
        <v>1258.25</v>
      </c>
      <c r="I33" t="n">
        <v>345.83</v>
      </c>
      <c r="J33" t="n">
        <v>240.45</v>
      </c>
      <c r="K33" t="n">
        <v>0</v>
      </c>
      <c r="L33" t="n">
        <v>59300</v>
      </c>
      <c r="M33" t="n">
        <v>12453</v>
      </c>
      <c r="N33" t="n">
        <v>35876.5</v>
      </c>
      <c r="O33" t="n">
        <v>9815</v>
      </c>
      <c r="P33" t="n">
        <v>4745</v>
      </c>
      <c r="Q33" t="n">
        <v>0</v>
      </c>
      <c r="R33" t="n">
        <v>11488.13</v>
      </c>
      <c r="S33" t="n">
        <v>0</v>
      </c>
      <c r="T33" t="n">
        <v>0</v>
      </c>
      <c r="U33" t="n">
        <v>0</v>
      </c>
      <c r="V33" t="n">
        <v>65.45</v>
      </c>
      <c r="W33" t="n">
        <v>416.67</v>
      </c>
      <c r="X33" t="n">
        <v>0</v>
      </c>
      <c r="Y33" t="n">
        <v>0</v>
      </c>
      <c r="Z33" t="n">
        <v>0</v>
      </c>
      <c r="AA33" t="n">
        <v>386422.54</v>
      </c>
    </row>
    <row r="34">
      <c r="A34" t="n">
        <v>33</v>
      </c>
      <c r="B34" t="n">
        <v>20000</v>
      </c>
      <c r="C34" t="n">
        <v>21287.5</v>
      </c>
      <c r="D34" t="n">
        <v>13000</v>
      </c>
      <c r="E34" t="n">
        <v>3900</v>
      </c>
      <c r="F34" t="n">
        <v>6300</v>
      </c>
      <c r="G34" t="n">
        <v>2128.75</v>
      </c>
      <c r="H34" t="n">
        <v>1266.44</v>
      </c>
      <c r="I34" t="n">
        <v>345.83</v>
      </c>
      <c r="J34" t="n">
        <v>238.19</v>
      </c>
      <c r="K34" t="n">
        <v>0</v>
      </c>
      <c r="L34" t="n">
        <v>29650</v>
      </c>
      <c r="M34" t="n">
        <v>6226.5</v>
      </c>
      <c r="N34" t="n">
        <v>71753</v>
      </c>
      <c r="O34" t="n">
        <v>9815</v>
      </c>
      <c r="P34" t="n">
        <v>4745</v>
      </c>
      <c r="Q34" t="n">
        <v>0</v>
      </c>
      <c r="R34" t="n">
        <v>11696.18</v>
      </c>
      <c r="S34" t="n">
        <v>0</v>
      </c>
      <c r="T34" t="n">
        <v>0</v>
      </c>
      <c r="U34" t="n">
        <v>0</v>
      </c>
      <c r="V34" t="n">
        <v>588.1900000000001</v>
      </c>
      <c r="W34" t="n">
        <v>2166.67</v>
      </c>
      <c r="X34" t="n">
        <v>0</v>
      </c>
      <c r="Y34" t="n">
        <v>0</v>
      </c>
      <c r="Z34" t="n">
        <v>0</v>
      </c>
      <c r="AA34" t="n">
        <v>429164.5</v>
      </c>
    </row>
    <row r="35">
      <c r="A35" t="n">
        <v>34</v>
      </c>
      <c r="B35" t="n">
        <v>0</v>
      </c>
      <c r="C35" t="n">
        <v>21287.5</v>
      </c>
      <c r="D35" t="n">
        <v>13000</v>
      </c>
      <c r="E35" t="n">
        <v>3900</v>
      </c>
      <c r="F35" t="n">
        <v>6300</v>
      </c>
      <c r="G35" t="n">
        <v>2128.75</v>
      </c>
      <c r="H35" t="n">
        <v>1266.44</v>
      </c>
      <c r="I35" t="n">
        <v>345.83</v>
      </c>
      <c r="J35" t="n">
        <v>227.19</v>
      </c>
      <c r="K35" t="n">
        <v>0</v>
      </c>
      <c r="L35" t="n">
        <v>29650</v>
      </c>
      <c r="M35" t="n">
        <v>6226.5</v>
      </c>
      <c r="N35" t="n">
        <v>35876.5</v>
      </c>
      <c r="O35" t="n">
        <v>9815</v>
      </c>
      <c r="P35" t="n">
        <v>4745</v>
      </c>
      <c r="Q35" t="n">
        <v>7020</v>
      </c>
      <c r="R35" t="n">
        <v>11696.18</v>
      </c>
      <c r="S35" t="n">
        <v>19011.35</v>
      </c>
      <c r="T35" t="n">
        <v>0</v>
      </c>
      <c r="U35" t="n">
        <v>0</v>
      </c>
      <c r="V35" t="n">
        <v>60.94</v>
      </c>
      <c r="W35" t="n">
        <v>416.67</v>
      </c>
      <c r="X35" t="n">
        <v>0</v>
      </c>
      <c r="Y35" t="n">
        <v>0</v>
      </c>
      <c r="Z35" t="n">
        <v>0</v>
      </c>
      <c r="AA35" t="n">
        <v>412275.86</v>
      </c>
    </row>
    <row r="36">
      <c r="A36" t="n">
        <v>35</v>
      </c>
      <c r="B36" t="n">
        <v>20000</v>
      </c>
      <c r="C36" t="n">
        <v>22925</v>
      </c>
      <c r="D36" t="n">
        <v>13000</v>
      </c>
      <c r="E36" t="n">
        <v>3900</v>
      </c>
      <c r="F36" t="n">
        <v>6300</v>
      </c>
      <c r="G36" t="n">
        <v>2292.5</v>
      </c>
      <c r="H36" t="n">
        <v>1274.62</v>
      </c>
      <c r="I36" t="n">
        <v>345.83</v>
      </c>
      <c r="J36" t="n">
        <v>224.93</v>
      </c>
      <c r="K36" t="n">
        <v>0</v>
      </c>
      <c r="L36" t="n">
        <v>39650</v>
      </c>
      <c r="M36" t="n">
        <v>8326.5</v>
      </c>
      <c r="N36" t="n">
        <v>35876.5</v>
      </c>
      <c r="O36" t="n">
        <v>9815</v>
      </c>
      <c r="P36" t="n">
        <v>4745</v>
      </c>
      <c r="Q36" t="n">
        <v>0</v>
      </c>
      <c r="R36" t="n">
        <v>11904.22</v>
      </c>
      <c r="S36" t="n">
        <v>0</v>
      </c>
      <c r="T36" t="n">
        <v>0</v>
      </c>
      <c r="U36" t="n">
        <v>0</v>
      </c>
      <c r="V36" t="n">
        <v>58.68</v>
      </c>
      <c r="W36" t="n">
        <v>416.67</v>
      </c>
      <c r="X36" t="n">
        <v>0</v>
      </c>
      <c r="Y36" t="n">
        <v>0</v>
      </c>
      <c r="Z36" t="n">
        <v>0</v>
      </c>
      <c r="AA36" t="n">
        <v>421212.8</v>
      </c>
    </row>
    <row r="37">
      <c r="A37" t="n">
        <v>36</v>
      </c>
      <c r="B37" t="n">
        <v>20000</v>
      </c>
      <c r="C37" t="n">
        <v>24562.5</v>
      </c>
      <c r="D37" t="n">
        <v>13000</v>
      </c>
      <c r="E37" t="n">
        <v>3900</v>
      </c>
      <c r="F37" t="n">
        <v>6300</v>
      </c>
      <c r="G37" t="n">
        <v>2456.25</v>
      </c>
      <c r="H37" t="n">
        <v>1282.81</v>
      </c>
      <c r="I37" t="n">
        <v>345.83</v>
      </c>
      <c r="J37" t="n">
        <v>222.67</v>
      </c>
      <c r="K37" t="n">
        <v>0</v>
      </c>
      <c r="L37" t="n">
        <v>49300</v>
      </c>
      <c r="M37" t="n">
        <v>10353</v>
      </c>
      <c r="N37" t="n">
        <v>47976.5</v>
      </c>
      <c r="O37" t="n">
        <v>9815</v>
      </c>
      <c r="P37" t="n">
        <v>4745</v>
      </c>
      <c r="Q37" t="n">
        <v>0</v>
      </c>
      <c r="R37" t="n">
        <v>12112.27</v>
      </c>
      <c r="S37" t="n">
        <v>0</v>
      </c>
      <c r="T37" t="n">
        <v>0</v>
      </c>
      <c r="U37" t="n">
        <v>0</v>
      </c>
      <c r="V37" t="n">
        <v>555.17</v>
      </c>
      <c r="W37" t="n">
        <v>2166.67</v>
      </c>
      <c r="X37" t="n">
        <v>0</v>
      </c>
      <c r="Y37" t="n">
        <v>0</v>
      </c>
      <c r="Z37" t="n">
        <v>0</v>
      </c>
      <c r="AA37" t="n">
        <v>439795.19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mes</t>
        </is>
      </c>
      <c r="B1" t="inlineStr">
        <is>
          <t>intangible</t>
        </is>
      </c>
      <c r="C1" t="inlineStr">
        <is>
          <t>material</t>
        </is>
      </c>
      <c r="D1" t="inlineStr">
        <is>
          <t>fianza</t>
        </is>
      </c>
      <c r="E1" t="inlineStr">
        <is>
          <t>clientes</t>
        </is>
      </c>
      <c r="F1" t="inlineStr">
        <is>
          <t>hp_deudora_iva</t>
        </is>
      </c>
      <c r="G1" t="inlineStr">
        <is>
          <t>tesoreria</t>
        </is>
      </c>
      <c r="H1" t="inlineStr">
        <is>
          <t>total_activo</t>
        </is>
      </c>
      <c r="I1" t="inlineStr">
        <is>
          <t>capital</t>
        </is>
      </c>
      <c r="J1" t="inlineStr">
        <is>
          <t>prima</t>
        </is>
      </c>
      <c r="K1" t="inlineStr">
        <is>
          <t>reservas</t>
        </is>
      </c>
      <c r="L1" t="inlineStr">
        <is>
          <t>anteriores</t>
        </is>
      </c>
      <c r="M1" t="inlineStr">
        <is>
          <t>resultado</t>
        </is>
      </c>
      <c r="N1" t="inlineStr">
        <is>
          <t>total_pn</t>
        </is>
      </c>
      <c r="O1" t="inlineStr">
        <is>
          <t>pn_mercantil</t>
        </is>
      </c>
      <c r="P1" t="inlineStr">
        <is>
          <t>umbral_363</t>
        </is>
      </c>
      <c r="Q1" t="inlineStr">
        <is>
          <t>enisa_lp</t>
        </is>
      </c>
      <c r="R1" t="inlineStr">
        <is>
          <t>banco_lp</t>
        </is>
      </c>
      <c r="S1" t="inlineStr">
        <is>
          <t>deuda_cp</t>
        </is>
      </c>
      <c r="T1" t="inlineStr">
        <is>
          <t>anticipos</t>
        </is>
      </c>
      <c r="U1" t="inlineStr">
        <is>
          <t>periodificacion</t>
        </is>
      </c>
      <c r="V1" t="inlineStr">
        <is>
          <t>hp_acreedora</t>
        </is>
      </c>
      <c r="W1" t="inlineStr">
        <is>
          <t>ss_acreedora</t>
        </is>
      </c>
      <c r="X1" t="inlineStr">
        <is>
          <t>total_pn_pasivo</t>
        </is>
      </c>
    </row>
    <row r="2">
      <c r="A2" t="n">
        <v>0</v>
      </c>
      <c r="B2" t="n">
        <v>5500</v>
      </c>
      <c r="C2" t="n">
        <v>7500</v>
      </c>
      <c r="D2" t="n">
        <v>1000</v>
      </c>
      <c r="E2" t="n">
        <v>0</v>
      </c>
      <c r="F2" t="n">
        <v>0</v>
      </c>
      <c r="G2" t="n">
        <v>44500</v>
      </c>
      <c r="H2" t="n">
        <v>58500</v>
      </c>
      <c r="I2" t="n">
        <v>3000</v>
      </c>
      <c r="J2" t="n">
        <v>37000</v>
      </c>
      <c r="K2" t="n">
        <v>-1500</v>
      </c>
      <c r="L2" t="n">
        <v>0</v>
      </c>
      <c r="M2" t="n">
        <v>0</v>
      </c>
      <c r="N2" t="n">
        <v>38500</v>
      </c>
      <c r="O2" t="n">
        <v>38500</v>
      </c>
      <c r="P2" t="n">
        <v>1500</v>
      </c>
      <c r="Q2" t="n">
        <v>0</v>
      </c>
      <c r="R2" t="n">
        <v>20000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58500</v>
      </c>
    </row>
    <row r="3">
      <c r="A3" t="n">
        <v>1</v>
      </c>
      <c r="B3" t="n">
        <v>5391.67</v>
      </c>
      <c r="C3" t="n">
        <v>7362.5</v>
      </c>
      <c r="D3" t="n">
        <v>1000</v>
      </c>
      <c r="E3" t="n">
        <v>0</v>
      </c>
      <c r="F3" t="n">
        <v>603.49</v>
      </c>
      <c r="G3" t="n">
        <v>37983.18</v>
      </c>
      <c r="H3" t="n">
        <v>52340.83</v>
      </c>
      <c r="I3" t="n">
        <v>3000</v>
      </c>
      <c r="J3" t="n">
        <v>37000</v>
      </c>
      <c r="K3" t="n">
        <v>-1500</v>
      </c>
      <c r="L3" t="n">
        <v>0</v>
      </c>
      <c r="M3" t="n">
        <v>-8202.92</v>
      </c>
      <c r="N3" t="n">
        <v>30297.08</v>
      </c>
      <c r="O3" t="n">
        <v>30297.08</v>
      </c>
      <c r="P3" t="n">
        <v>1500</v>
      </c>
      <c r="Q3" t="n">
        <v>0</v>
      </c>
      <c r="R3" t="n">
        <v>19583.33</v>
      </c>
      <c r="S3" t="n">
        <v>416.67</v>
      </c>
      <c r="T3" t="n">
        <v>0</v>
      </c>
      <c r="U3" t="n">
        <v>0</v>
      </c>
      <c r="V3" t="n">
        <v>675</v>
      </c>
      <c r="W3" t="n">
        <v>1368.75</v>
      </c>
      <c r="X3" t="n">
        <v>52340.83</v>
      </c>
    </row>
    <row r="4">
      <c r="A4" t="n">
        <v>2</v>
      </c>
      <c r="B4" t="n">
        <v>5283.33</v>
      </c>
      <c r="C4" t="n">
        <v>7225</v>
      </c>
      <c r="D4" t="n">
        <v>1000</v>
      </c>
      <c r="E4" t="n">
        <v>0</v>
      </c>
      <c r="F4" t="n">
        <v>1206.97</v>
      </c>
      <c r="G4" t="n">
        <v>30097.61</v>
      </c>
      <c r="H4" t="n">
        <v>44812.92</v>
      </c>
      <c r="I4" t="n">
        <v>3000</v>
      </c>
      <c r="J4" t="n">
        <v>37000</v>
      </c>
      <c r="K4" t="n">
        <v>-1500</v>
      </c>
      <c r="L4" t="n">
        <v>0</v>
      </c>
      <c r="M4" t="n">
        <v>-16405.83</v>
      </c>
      <c r="N4" t="n">
        <v>22094.17</v>
      </c>
      <c r="O4" t="n">
        <v>22094.17</v>
      </c>
      <c r="P4" t="n">
        <v>1500</v>
      </c>
      <c r="Q4" t="n">
        <v>0</v>
      </c>
      <c r="R4" t="n">
        <v>19166.67</v>
      </c>
      <c r="S4" t="n">
        <v>833.33</v>
      </c>
      <c r="T4" t="n">
        <v>0</v>
      </c>
      <c r="U4" t="n">
        <v>0</v>
      </c>
      <c r="V4" t="n">
        <v>1350</v>
      </c>
      <c r="W4" t="n">
        <v>1368.75</v>
      </c>
      <c r="X4" t="n">
        <v>44812.92</v>
      </c>
    </row>
    <row r="5">
      <c r="A5" t="n">
        <v>3</v>
      </c>
      <c r="B5" t="n">
        <v>5175</v>
      </c>
      <c r="C5" t="n">
        <v>7087.5</v>
      </c>
      <c r="D5" t="n">
        <v>1000</v>
      </c>
      <c r="E5" t="n">
        <v>0</v>
      </c>
      <c r="F5" t="n">
        <v>1810.46</v>
      </c>
      <c r="G5" t="n">
        <v>22212.04</v>
      </c>
      <c r="H5" t="n">
        <v>37285</v>
      </c>
      <c r="I5" t="n">
        <v>3000</v>
      </c>
      <c r="J5" t="n">
        <v>37000</v>
      </c>
      <c r="K5" t="n">
        <v>-1500</v>
      </c>
      <c r="L5" t="n">
        <v>0</v>
      </c>
      <c r="M5" t="n">
        <v>-24608.75</v>
      </c>
      <c r="N5" t="n">
        <v>13891.25</v>
      </c>
      <c r="O5" t="n">
        <v>13891.25</v>
      </c>
      <c r="P5" t="n">
        <v>1500</v>
      </c>
      <c r="Q5" t="n">
        <v>0</v>
      </c>
      <c r="R5" t="n">
        <v>18750</v>
      </c>
      <c r="S5" t="n">
        <v>1250</v>
      </c>
      <c r="T5" t="n">
        <v>0</v>
      </c>
      <c r="U5" t="n">
        <v>0</v>
      </c>
      <c r="V5" t="n">
        <v>2025</v>
      </c>
      <c r="W5" t="n">
        <v>1368.75</v>
      </c>
      <c r="X5" t="n">
        <v>37285</v>
      </c>
    </row>
    <row r="6">
      <c r="A6" t="n">
        <v>4</v>
      </c>
      <c r="B6" t="n">
        <v>5066.67</v>
      </c>
      <c r="C6" t="n">
        <v>6950</v>
      </c>
      <c r="D6" t="n">
        <v>1000</v>
      </c>
      <c r="E6" t="n">
        <v>12100</v>
      </c>
      <c r="F6" t="n">
        <v>313.95</v>
      </c>
      <c r="G6" t="n">
        <v>12301.47</v>
      </c>
      <c r="H6" t="n">
        <v>37732.08</v>
      </c>
      <c r="I6" t="n">
        <v>3000</v>
      </c>
      <c r="J6" t="n">
        <v>37000</v>
      </c>
      <c r="K6" t="n">
        <v>-1500</v>
      </c>
      <c r="L6" t="n">
        <v>0</v>
      </c>
      <c r="M6" t="n">
        <v>-32811.67</v>
      </c>
      <c r="N6" t="n">
        <v>5688.33</v>
      </c>
      <c r="O6" t="n">
        <v>5688.33</v>
      </c>
      <c r="P6" t="n">
        <v>1500</v>
      </c>
      <c r="Q6" t="n">
        <v>0</v>
      </c>
      <c r="R6" t="n">
        <v>18333.33</v>
      </c>
      <c r="S6" t="n">
        <v>1666.67</v>
      </c>
      <c r="T6" t="n">
        <v>10000</v>
      </c>
      <c r="U6" t="n">
        <v>0</v>
      </c>
      <c r="V6" t="n">
        <v>675</v>
      </c>
      <c r="W6" t="n">
        <v>1368.75</v>
      </c>
      <c r="X6" t="n">
        <v>37732.08</v>
      </c>
    </row>
    <row r="7">
      <c r="A7" t="n">
        <v>5</v>
      </c>
      <c r="B7" t="n">
        <v>4958.33</v>
      </c>
      <c r="C7" t="n">
        <v>6812.5</v>
      </c>
      <c r="D7" t="n">
        <v>1000</v>
      </c>
      <c r="E7" t="n">
        <v>35876.5</v>
      </c>
      <c r="F7" t="n">
        <v>0</v>
      </c>
      <c r="G7" t="n">
        <v>16515.9</v>
      </c>
      <c r="H7" t="n">
        <v>65163.23</v>
      </c>
      <c r="I7" t="n">
        <v>3000</v>
      </c>
      <c r="J7" t="n">
        <v>37000</v>
      </c>
      <c r="K7" t="n">
        <v>-1500</v>
      </c>
      <c r="L7" t="n">
        <v>0</v>
      </c>
      <c r="M7" t="n">
        <v>-19377.08</v>
      </c>
      <c r="N7" t="n">
        <v>19122.92</v>
      </c>
      <c r="O7" t="n">
        <v>19122.92</v>
      </c>
      <c r="P7" t="n">
        <v>1500</v>
      </c>
      <c r="Q7" t="n">
        <v>0</v>
      </c>
      <c r="R7" t="n">
        <v>17916.67</v>
      </c>
      <c r="S7" t="n">
        <v>2083.33</v>
      </c>
      <c r="T7" t="n">
        <v>0</v>
      </c>
      <c r="U7" t="n">
        <v>18012.5</v>
      </c>
      <c r="V7" t="n">
        <v>6659.06</v>
      </c>
      <c r="W7" t="n">
        <v>1368.75</v>
      </c>
      <c r="X7" t="n">
        <v>65163.23</v>
      </c>
    </row>
    <row r="8">
      <c r="A8" t="n">
        <v>6</v>
      </c>
      <c r="B8" t="n">
        <v>4850</v>
      </c>
      <c r="C8" t="n">
        <v>6675</v>
      </c>
      <c r="D8" t="n">
        <v>1000</v>
      </c>
      <c r="E8" t="n">
        <v>12100</v>
      </c>
      <c r="F8" t="n">
        <v>0</v>
      </c>
      <c r="G8" t="n">
        <v>76205.64</v>
      </c>
      <c r="H8" t="n">
        <v>100830.64</v>
      </c>
      <c r="I8" t="n">
        <v>3000</v>
      </c>
      <c r="J8" t="n">
        <v>37000</v>
      </c>
      <c r="K8" t="n">
        <v>-1500</v>
      </c>
      <c r="L8" t="n">
        <v>0</v>
      </c>
      <c r="M8" t="n">
        <v>-31236.25</v>
      </c>
      <c r="N8" t="n">
        <v>7263.75</v>
      </c>
      <c r="O8" t="n">
        <v>42263.75</v>
      </c>
      <c r="P8" t="n">
        <v>1500</v>
      </c>
      <c r="Q8" t="n">
        <v>35000</v>
      </c>
      <c r="R8" t="n">
        <v>17500</v>
      </c>
      <c r="S8" t="n">
        <v>2500</v>
      </c>
      <c r="T8" t="n">
        <v>10000</v>
      </c>
      <c r="U8" t="n">
        <v>16375</v>
      </c>
      <c r="V8" t="n">
        <v>9454.389999999999</v>
      </c>
      <c r="W8" t="n">
        <v>2737.5</v>
      </c>
      <c r="X8" t="n">
        <v>100830.64</v>
      </c>
    </row>
    <row r="9">
      <c r="A9" t="n">
        <v>7</v>
      </c>
      <c r="B9" t="n">
        <v>4741.67</v>
      </c>
      <c r="C9" t="n">
        <v>6537.5</v>
      </c>
      <c r="D9" t="n">
        <v>1000</v>
      </c>
      <c r="E9" t="n">
        <v>35876.5</v>
      </c>
      <c r="F9" t="n">
        <v>0</v>
      </c>
      <c r="G9" t="n">
        <v>66470.74000000001</v>
      </c>
      <c r="H9" t="n">
        <v>114626.41</v>
      </c>
      <c r="I9" t="n">
        <v>3000</v>
      </c>
      <c r="J9" t="n">
        <v>37000</v>
      </c>
      <c r="K9" t="n">
        <v>-1500</v>
      </c>
      <c r="L9" t="n">
        <v>0</v>
      </c>
      <c r="M9" t="n">
        <v>-21457.92</v>
      </c>
      <c r="N9" t="n">
        <v>17042.08</v>
      </c>
      <c r="O9" t="n">
        <v>52042.08</v>
      </c>
      <c r="P9" t="n">
        <v>1500</v>
      </c>
      <c r="Q9" t="n">
        <v>35000</v>
      </c>
      <c r="R9" t="n">
        <v>17083.33</v>
      </c>
      <c r="S9" t="n">
        <v>3091.67</v>
      </c>
      <c r="T9" t="n">
        <v>0</v>
      </c>
      <c r="U9" t="n">
        <v>32750</v>
      </c>
      <c r="V9" t="n">
        <v>6921.83</v>
      </c>
      <c r="W9" t="n">
        <v>2737.5</v>
      </c>
      <c r="X9" t="n">
        <v>114626.41</v>
      </c>
    </row>
    <row r="10">
      <c r="A10" t="n">
        <v>8</v>
      </c>
      <c r="B10" t="n">
        <v>4633.33</v>
      </c>
      <c r="C10" t="n">
        <v>6400</v>
      </c>
      <c r="D10" t="n">
        <v>1000</v>
      </c>
      <c r="E10" t="n">
        <v>12100</v>
      </c>
      <c r="F10" t="n">
        <v>0</v>
      </c>
      <c r="G10" t="n">
        <v>89966.73</v>
      </c>
      <c r="H10" t="n">
        <v>114100.07</v>
      </c>
      <c r="I10" t="n">
        <v>3000</v>
      </c>
      <c r="J10" t="n">
        <v>37000</v>
      </c>
      <c r="K10" t="n">
        <v>-1500</v>
      </c>
      <c r="L10" t="n">
        <v>0</v>
      </c>
      <c r="M10" t="n">
        <v>-31679.58</v>
      </c>
      <c r="N10" t="n">
        <v>6820.42</v>
      </c>
      <c r="O10" t="n">
        <v>41820.42</v>
      </c>
      <c r="P10" t="n">
        <v>1500</v>
      </c>
      <c r="Q10" t="n">
        <v>35000</v>
      </c>
      <c r="R10" t="n">
        <v>16666.67</v>
      </c>
      <c r="S10" t="n">
        <v>3683.33</v>
      </c>
      <c r="T10" t="n">
        <v>10000</v>
      </c>
      <c r="U10" t="n">
        <v>29475</v>
      </c>
      <c r="V10" t="n">
        <v>9717.15</v>
      </c>
      <c r="W10" t="n">
        <v>2737.5</v>
      </c>
      <c r="X10" t="n">
        <v>114100.07</v>
      </c>
    </row>
    <row r="11">
      <c r="A11" t="n">
        <v>9</v>
      </c>
      <c r="B11" t="n">
        <v>4525</v>
      </c>
      <c r="C11" t="n">
        <v>6262.5</v>
      </c>
      <c r="D11" t="n">
        <v>1000</v>
      </c>
      <c r="E11" t="n">
        <v>35876.5</v>
      </c>
      <c r="F11" t="n">
        <v>0</v>
      </c>
      <c r="G11" t="n">
        <v>89161.23</v>
      </c>
      <c r="H11" t="n">
        <v>136825.23</v>
      </c>
      <c r="I11" t="n">
        <v>3000</v>
      </c>
      <c r="J11" t="n">
        <v>37000</v>
      </c>
      <c r="K11" t="n">
        <v>-1500</v>
      </c>
      <c r="L11" t="n">
        <v>0</v>
      </c>
      <c r="M11" t="n">
        <v>-20263.75</v>
      </c>
      <c r="N11" t="n">
        <v>18236.25</v>
      </c>
      <c r="O11" t="n">
        <v>53236.25</v>
      </c>
      <c r="P11" t="n">
        <v>1500</v>
      </c>
      <c r="Q11" t="n">
        <v>35000</v>
      </c>
      <c r="R11" t="n">
        <v>16250</v>
      </c>
      <c r="S11" t="n">
        <v>3750</v>
      </c>
      <c r="T11" t="n">
        <v>0</v>
      </c>
      <c r="U11" t="n">
        <v>44212.5</v>
      </c>
      <c r="V11" t="n">
        <v>16638.98</v>
      </c>
      <c r="W11" t="n">
        <v>2737.5</v>
      </c>
      <c r="X11" t="n">
        <v>136825.23</v>
      </c>
    </row>
    <row r="12">
      <c r="A12" t="n">
        <v>10</v>
      </c>
      <c r="B12" t="n">
        <v>4416.67</v>
      </c>
      <c r="C12" t="n">
        <v>6125</v>
      </c>
      <c r="D12" t="n">
        <v>1000</v>
      </c>
      <c r="E12" t="n">
        <v>0</v>
      </c>
      <c r="F12" t="n">
        <v>654.67</v>
      </c>
      <c r="G12" t="n">
        <v>96018.24000000001</v>
      </c>
      <c r="H12" t="n">
        <v>108214.58</v>
      </c>
      <c r="I12" t="n">
        <v>3000</v>
      </c>
      <c r="J12" t="n">
        <v>37000</v>
      </c>
      <c r="K12" t="n">
        <v>-1500</v>
      </c>
      <c r="L12" t="n">
        <v>0</v>
      </c>
      <c r="M12" t="n">
        <v>-28847.92</v>
      </c>
      <c r="N12" t="n">
        <v>9652.08</v>
      </c>
      <c r="O12" t="n">
        <v>44652.08</v>
      </c>
      <c r="P12" t="n">
        <v>1500</v>
      </c>
      <c r="Q12" t="n">
        <v>35000</v>
      </c>
      <c r="R12" t="n">
        <v>15833.33</v>
      </c>
      <c r="S12" t="n">
        <v>4341.67</v>
      </c>
      <c r="T12" t="n">
        <v>0</v>
      </c>
      <c r="U12" t="n">
        <v>39300</v>
      </c>
      <c r="V12" t="n">
        <v>1350</v>
      </c>
      <c r="W12" t="n">
        <v>2737.5</v>
      </c>
      <c r="X12" t="n">
        <v>108214.58</v>
      </c>
    </row>
    <row r="13">
      <c r="A13" t="n">
        <v>11</v>
      </c>
      <c r="B13" t="n">
        <v>4308.33</v>
      </c>
      <c r="C13" t="n">
        <v>5987.5</v>
      </c>
      <c r="D13" t="n">
        <v>1000</v>
      </c>
      <c r="E13" t="n">
        <v>0</v>
      </c>
      <c r="F13" t="n">
        <v>1309.35</v>
      </c>
      <c r="G13" t="n">
        <v>83637.73</v>
      </c>
      <c r="H13" t="n">
        <v>96242.92</v>
      </c>
      <c r="I13" t="n">
        <v>3000</v>
      </c>
      <c r="J13" t="n">
        <v>37000</v>
      </c>
      <c r="K13" t="n">
        <v>-1500</v>
      </c>
      <c r="L13" t="n">
        <v>0</v>
      </c>
      <c r="M13" t="n">
        <v>-37432.08</v>
      </c>
      <c r="N13" t="n">
        <v>1067.92</v>
      </c>
      <c r="O13" t="n">
        <v>36067.92</v>
      </c>
      <c r="P13" t="n">
        <v>1500</v>
      </c>
      <c r="Q13" t="n">
        <v>35000</v>
      </c>
      <c r="R13" t="n">
        <v>15416.67</v>
      </c>
      <c r="S13" t="n">
        <v>4933.33</v>
      </c>
      <c r="T13" t="n">
        <v>0</v>
      </c>
      <c r="U13" t="n">
        <v>34387.5</v>
      </c>
      <c r="V13" t="n">
        <v>2700</v>
      </c>
      <c r="W13" t="n">
        <v>2737.5</v>
      </c>
      <c r="X13" t="n">
        <v>96242.92</v>
      </c>
    </row>
    <row r="14">
      <c r="A14" t="n">
        <v>12</v>
      </c>
      <c r="B14" t="n">
        <v>4200</v>
      </c>
      <c r="C14" t="n">
        <v>5850</v>
      </c>
      <c r="D14" t="n">
        <v>1000</v>
      </c>
      <c r="E14" t="n">
        <v>0</v>
      </c>
      <c r="F14" t="n">
        <v>2594.02</v>
      </c>
      <c r="G14" t="n">
        <v>317102.22</v>
      </c>
      <c r="H14" t="n">
        <v>330746.25</v>
      </c>
      <c r="I14" t="n">
        <v>4000</v>
      </c>
      <c r="J14" t="n">
        <v>286000</v>
      </c>
      <c r="K14" t="n">
        <v>-4500</v>
      </c>
      <c r="L14" t="n">
        <v>0</v>
      </c>
      <c r="M14" t="n">
        <v>-46016.25</v>
      </c>
      <c r="N14" t="n">
        <v>239483.75</v>
      </c>
      <c r="O14" t="n">
        <v>274483.75</v>
      </c>
      <c r="P14" t="n">
        <v>2000</v>
      </c>
      <c r="Q14" t="n">
        <v>35000</v>
      </c>
      <c r="R14" t="n">
        <v>15000</v>
      </c>
      <c r="S14" t="n">
        <v>5000</v>
      </c>
      <c r="T14" t="n">
        <v>0</v>
      </c>
      <c r="U14" t="n">
        <v>29475</v>
      </c>
      <c r="V14" t="n">
        <v>4050</v>
      </c>
      <c r="W14" t="n">
        <v>2737.5</v>
      </c>
      <c r="X14" t="n">
        <v>330746.25</v>
      </c>
    </row>
    <row r="15">
      <c r="A15" t="n">
        <v>13</v>
      </c>
      <c r="B15" t="n">
        <v>4091.67</v>
      </c>
      <c r="C15" t="n">
        <v>8166.67</v>
      </c>
      <c r="D15" t="n">
        <v>1000</v>
      </c>
      <c r="E15" t="n">
        <v>12100</v>
      </c>
      <c r="F15" t="n">
        <v>2272.55</v>
      </c>
      <c r="G15" t="n">
        <v>291825.39</v>
      </c>
      <c r="H15" t="n">
        <v>319456.27</v>
      </c>
      <c r="I15" t="n">
        <v>4000</v>
      </c>
      <c r="J15" t="n">
        <v>286000</v>
      </c>
      <c r="K15" t="n">
        <v>-4500</v>
      </c>
      <c r="L15" t="n">
        <v>-46016.25</v>
      </c>
      <c r="M15" t="n">
        <v>-14798.31</v>
      </c>
      <c r="N15" t="n">
        <v>224685.44</v>
      </c>
      <c r="O15" t="n">
        <v>259685.44</v>
      </c>
      <c r="P15" t="n">
        <v>2000</v>
      </c>
      <c r="Q15" t="n">
        <v>35000</v>
      </c>
      <c r="R15" t="n">
        <v>14583.33</v>
      </c>
      <c r="S15" t="n">
        <v>5175</v>
      </c>
      <c r="T15" t="n">
        <v>10000</v>
      </c>
      <c r="U15" t="n">
        <v>24562.5</v>
      </c>
      <c r="V15" t="n">
        <v>1800</v>
      </c>
      <c r="W15" t="n">
        <v>3650</v>
      </c>
      <c r="X15" t="n">
        <v>319456.27</v>
      </c>
    </row>
    <row r="16">
      <c r="A16" t="n">
        <v>14</v>
      </c>
      <c r="B16" t="n">
        <v>4975</v>
      </c>
      <c r="C16" t="n">
        <v>7983.33</v>
      </c>
      <c r="D16" t="n">
        <v>1000</v>
      </c>
      <c r="E16" t="n">
        <v>35876.5</v>
      </c>
      <c r="F16" t="n">
        <v>0</v>
      </c>
      <c r="G16" t="n">
        <v>283395.27</v>
      </c>
      <c r="H16" t="n">
        <v>333230.1</v>
      </c>
      <c r="I16" t="n">
        <v>4000</v>
      </c>
      <c r="J16" t="n">
        <v>286000</v>
      </c>
      <c r="K16" t="n">
        <v>-4500</v>
      </c>
      <c r="L16" t="n">
        <v>-46016.25</v>
      </c>
      <c r="M16" t="n">
        <v>-8137.14</v>
      </c>
      <c r="N16" t="n">
        <v>231346.61</v>
      </c>
      <c r="O16" t="n">
        <v>266346.61</v>
      </c>
      <c r="P16" t="n">
        <v>2000</v>
      </c>
      <c r="Q16" t="n">
        <v>35000</v>
      </c>
      <c r="R16" t="n">
        <v>14166.67</v>
      </c>
      <c r="S16" t="n">
        <v>5350</v>
      </c>
      <c r="T16" t="n">
        <v>0</v>
      </c>
      <c r="U16" t="n">
        <v>37662.5</v>
      </c>
      <c r="V16" t="n">
        <v>6054.33</v>
      </c>
      <c r="W16" t="n">
        <v>3650</v>
      </c>
      <c r="X16" t="n">
        <v>333230.1</v>
      </c>
    </row>
    <row r="17">
      <c r="A17" t="n">
        <v>15</v>
      </c>
      <c r="B17" t="n">
        <v>4858.33</v>
      </c>
      <c r="C17" t="n">
        <v>7800</v>
      </c>
      <c r="D17" t="n">
        <v>1000</v>
      </c>
      <c r="E17" t="n">
        <v>12100</v>
      </c>
      <c r="F17" t="n">
        <v>0</v>
      </c>
      <c r="G17" t="n">
        <v>299428.91</v>
      </c>
      <c r="H17" t="n">
        <v>325187.24</v>
      </c>
      <c r="I17" t="n">
        <v>4000</v>
      </c>
      <c r="J17" t="n">
        <v>286000</v>
      </c>
      <c r="K17" t="n">
        <v>-4500</v>
      </c>
      <c r="L17" t="n">
        <v>-46016.25</v>
      </c>
      <c r="M17" t="n">
        <v>-21473.71</v>
      </c>
      <c r="N17" t="n">
        <v>218010.04</v>
      </c>
      <c r="O17" t="n">
        <v>253010.04</v>
      </c>
      <c r="P17" t="n">
        <v>2000</v>
      </c>
      <c r="Q17" t="n">
        <v>35000</v>
      </c>
      <c r="R17" t="n">
        <v>13750</v>
      </c>
      <c r="S17" t="n">
        <v>5000</v>
      </c>
      <c r="T17" t="n">
        <v>10000</v>
      </c>
      <c r="U17" t="n">
        <v>31112.5</v>
      </c>
      <c r="V17" t="n">
        <v>8664.700000000001</v>
      </c>
      <c r="W17" t="n">
        <v>3650</v>
      </c>
      <c r="X17" t="n">
        <v>325187.24</v>
      </c>
    </row>
    <row r="18">
      <c r="A18" t="n">
        <v>16</v>
      </c>
      <c r="B18" t="n">
        <v>4741.67</v>
      </c>
      <c r="C18" t="n">
        <v>7616.67</v>
      </c>
      <c r="D18" t="n">
        <v>1000</v>
      </c>
      <c r="E18" t="n">
        <v>35876.5</v>
      </c>
      <c r="F18" t="n">
        <v>0</v>
      </c>
      <c r="G18" t="n">
        <v>283340.56</v>
      </c>
      <c r="H18" t="n">
        <v>332575.39</v>
      </c>
      <c r="I18" t="n">
        <v>4000</v>
      </c>
      <c r="J18" t="n">
        <v>286000</v>
      </c>
      <c r="K18" t="n">
        <v>-4500</v>
      </c>
      <c r="L18" t="n">
        <v>-46016.25</v>
      </c>
      <c r="M18" t="n">
        <v>-13342.46</v>
      </c>
      <c r="N18" t="n">
        <v>226141.29</v>
      </c>
      <c r="O18" t="n">
        <v>261141.29</v>
      </c>
      <c r="P18" t="n">
        <v>2000</v>
      </c>
      <c r="Q18" t="n">
        <v>35000</v>
      </c>
      <c r="R18" t="n">
        <v>13333.33</v>
      </c>
      <c r="S18" t="n">
        <v>5175</v>
      </c>
      <c r="T18" t="n">
        <v>0</v>
      </c>
      <c r="U18" t="n">
        <v>42575</v>
      </c>
      <c r="V18" t="n">
        <v>6700.77</v>
      </c>
      <c r="W18" t="n">
        <v>3650</v>
      </c>
      <c r="X18" t="n">
        <v>332575.39</v>
      </c>
    </row>
    <row r="19">
      <c r="A19" t="n">
        <v>17</v>
      </c>
      <c r="B19" t="n">
        <v>4625</v>
      </c>
      <c r="C19" t="n">
        <v>7433.33</v>
      </c>
      <c r="D19" t="n">
        <v>1000</v>
      </c>
      <c r="E19" t="n">
        <v>35876.5</v>
      </c>
      <c r="F19" t="n">
        <v>0</v>
      </c>
      <c r="G19" t="n">
        <v>299695.66</v>
      </c>
      <c r="H19" t="n">
        <v>348630.5</v>
      </c>
      <c r="I19" t="n">
        <v>4000</v>
      </c>
      <c r="J19" t="n">
        <v>286000</v>
      </c>
      <c r="K19" t="n">
        <v>-4500</v>
      </c>
      <c r="L19" t="n">
        <v>-46016.25</v>
      </c>
      <c r="M19" t="n">
        <v>-25208.95</v>
      </c>
      <c r="N19" t="n">
        <v>214274.8</v>
      </c>
      <c r="O19" t="n">
        <v>249274.8</v>
      </c>
      <c r="P19" t="n">
        <v>2000</v>
      </c>
      <c r="Q19" t="n">
        <v>35000</v>
      </c>
      <c r="R19" t="n">
        <v>12916.67</v>
      </c>
      <c r="S19" t="n">
        <v>5350</v>
      </c>
      <c r="T19" t="n">
        <v>10000</v>
      </c>
      <c r="U19" t="n">
        <v>54037.5</v>
      </c>
      <c r="V19" t="n">
        <v>13401.53</v>
      </c>
      <c r="W19" t="n">
        <v>3650</v>
      </c>
      <c r="X19" t="n">
        <v>348630.5</v>
      </c>
    </row>
    <row r="20">
      <c r="A20" t="n">
        <v>18</v>
      </c>
      <c r="B20" t="n">
        <v>4508.33</v>
      </c>
      <c r="C20" t="n">
        <v>7250</v>
      </c>
      <c r="D20" t="n">
        <v>1000</v>
      </c>
      <c r="E20" t="n">
        <v>35876.5</v>
      </c>
      <c r="F20" t="n">
        <v>0</v>
      </c>
      <c r="G20" t="n">
        <v>315319.98</v>
      </c>
      <c r="H20" t="n">
        <v>363954.81</v>
      </c>
      <c r="I20" t="n">
        <v>4000</v>
      </c>
      <c r="J20" t="n">
        <v>286000</v>
      </c>
      <c r="K20" t="n">
        <v>-4500</v>
      </c>
      <c r="L20" t="n">
        <v>-46016.25</v>
      </c>
      <c r="M20" t="n">
        <v>-15607.62</v>
      </c>
      <c r="N20" t="n">
        <v>223876.12</v>
      </c>
      <c r="O20" t="n">
        <v>258876.12</v>
      </c>
      <c r="P20" t="n">
        <v>2000</v>
      </c>
      <c r="Q20" t="n">
        <v>35000</v>
      </c>
      <c r="R20" t="n">
        <v>12500</v>
      </c>
      <c r="S20" t="n">
        <v>5000</v>
      </c>
      <c r="T20" t="n">
        <v>0</v>
      </c>
      <c r="U20" t="n">
        <v>63862.5</v>
      </c>
      <c r="V20" t="n">
        <v>20066.19</v>
      </c>
      <c r="W20" t="n">
        <v>3650</v>
      </c>
      <c r="X20" t="n">
        <v>363954.82</v>
      </c>
    </row>
    <row r="21">
      <c r="A21" t="n">
        <v>19</v>
      </c>
      <c r="B21" t="n">
        <v>4391.67</v>
      </c>
      <c r="C21" t="n">
        <v>7066.67</v>
      </c>
      <c r="D21" t="n">
        <v>1000</v>
      </c>
      <c r="E21" t="n">
        <v>35876.5</v>
      </c>
      <c r="F21" t="n">
        <v>0</v>
      </c>
      <c r="G21" t="n">
        <v>311405.37</v>
      </c>
      <c r="H21" t="n">
        <v>359740.2</v>
      </c>
      <c r="I21" t="n">
        <v>4000</v>
      </c>
      <c r="J21" t="n">
        <v>286000</v>
      </c>
      <c r="K21" t="n">
        <v>-4500</v>
      </c>
      <c r="L21" t="n">
        <v>-46016.25</v>
      </c>
      <c r="M21" t="n">
        <v>-26004.04</v>
      </c>
      <c r="N21" t="n">
        <v>213479.71</v>
      </c>
      <c r="O21" t="n">
        <v>248479.71</v>
      </c>
      <c r="P21" t="n">
        <v>2000</v>
      </c>
      <c r="Q21" t="n">
        <v>35000</v>
      </c>
      <c r="R21" t="n">
        <v>12083.33</v>
      </c>
      <c r="S21" t="n">
        <v>5175</v>
      </c>
      <c r="T21" t="n">
        <v>10000</v>
      </c>
      <c r="U21" t="n">
        <v>73687.5</v>
      </c>
      <c r="V21" t="n">
        <v>6664.66</v>
      </c>
      <c r="W21" t="n">
        <v>3650</v>
      </c>
      <c r="X21" t="n">
        <v>359740.2</v>
      </c>
    </row>
    <row r="22">
      <c r="A22" t="n">
        <v>20</v>
      </c>
      <c r="B22" t="n">
        <v>4275</v>
      </c>
      <c r="C22" t="n">
        <v>6883.33</v>
      </c>
      <c r="D22" t="n">
        <v>1000</v>
      </c>
      <c r="E22" t="n">
        <v>35876.5</v>
      </c>
      <c r="F22" t="n">
        <v>0</v>
      </c>
      <c r="G22" t="n">
        <v>327351.16</v>
      </c>
      <c r="H22" t="n">
        <v>375385.99</v>
      </c>
      <c r="I22" t="n">
        <v>4000</v>
      </c>
      <c r="J22" t="n">
        <v>286000</v>
      </c>
      <c r="K22" t="n">
        <v>-4500</v>
      </c>
      <c r="L22" t="n">
        <v>-46016.25</v>
      </c>
      <c r="M22" t="n">
        <v>-14932.64</v>
      </c>
      <c r="N22" t="n">
        <v>224551.11</v>
      </c>
      <c r="O22" t="n">
        <v>259551.11</v>
      </c>
      <c r="P22" t="n">
        <v>2000</v>
      </c>
      <c r="Q22" t="n">
        <v>35000</v>
      </c>
      <c r="R22" t="n">
        <v>11666.67</v>
      </c>
      <c r="S22" t="n">
        <v>5350</v>
      </c>
      <c r="T22" t="n">
        <v>0</v>
      </c>
      <c r="U22" t="n">
        <v>81875</v>
      </c>
      <c r="V22" t="n">
        <v>13293.21</v>
      </c>
      <c r="W22" t="n">
        <v>3650</v>
      </c>
      <c r="X22" t="n">
        <v>375385.99</v>
      </c>
    </row>
    <row r="23">
      <c r="A23" t="n">
        <v>21</v>
      </c>
      <c r="B23" t="n">
        <v>4158.33</v>
      </c>
      <c r="C23" t="n">
        <v>6700</v>
      </c>
      <c r="D23" t="n">
        <v>1000</v>
      </c>
      <c r="E23" t="n">
        <v>12100</v>
      </c>
      <c r="F23" t="n">
        <v>0</v>
      </c>
      <c r="G23" t="n">
        <v>342982.24</v>
      </c>
      <c r="H23" t="n">
        <v>366940.58</v>
      </c>
      <c r="I23" t="n">
        <v>4000</v>
      </c>
      <c r="J23" t="n">
        <v>286000</v>
      </c>
      <c r="K23" t="n">
        <v>-4500</v>
      </c>
      <c r="L23" t="n">
        <v>-46016.25</v>
      </c>
      <c r="M23" t="n">
        <v>-25324.54</v>
      </c>
      <c r="N23" t="n">
        <v>214159.21</v>
      </c>
      <c r="O23" t="n">
        <v>249159.21</v>
      </c>
      <c r="P23" t="n">
        <v>2000</v>
      </c>
      <c r="Q23" t="n">
        <v>33250</v>
      </c>
      <c r="R23" t="n">
        <v>11250</v>
      </c>
      <c r="S23" t="n">
        <v>6750</v>
      </c>
      <c r="T23" t="n">
        <v>10000</v>
      </c>
      <c r="U23" t="n">
        <v>72050</v>
      </c>
      <c r="V23" t="n">
        <v>15831.37</v>
      </c>
      <c r="W23" t="n">
        <v>3650</v>
      </c>
      <c r="X23" t="n">
        <v>366940.58</v>
      </c>
    </row>
    <row r="24">
      <c r="A24" t="n">
        <v>22</v>
      </c>
      <c r="B24" t="n">
        <v>4041.67</v>
      </c>
      <c r="C24" t="n">
        <v>6516.67</v>
      </c>
      <c r="D24" t="n">
        <v>1000</v>
      </c>
      <c r="E24" t="n">
        <v>35876.5</v>
      </c>
      <c r="F24" t="n">
        <v>0</v>
      </c>
      <c r="G24" t="n">
        <v>319324.68</v>
      </c>
      <c r="H24" t="n">
        <v>366759.51</v>
      </c>
      <c r="I24" t="n">
        <v>4000</v>
      </c>
      <c r="J24" t="n">
        <v>286000</v>
      </c>
      <c r="K24" t="n">
        <v>-4500</v>
      </c>
      <c r="L24" t="n">
        <v>-46016.25</v>
      </c>
      <c r="M24" t="n">
        <v>-14248.62</v>
      </c>
      <c r="N24" t="n">
        <v>225235.13</v>
      </c>
      <c r="O24" t="n">
        <v>260235.13</v>
      </c>
      <c r="P24" t="n">
        <v>2000</v>
      </c>
      <c r="Q24" t="n">
        <v>33250</v>
      </c>
      <c r="R24" t="n">
        <v>10833.33</v>
      </c>
      <c r="S24" t="n">
        <v>6925</v>
      </c>
      <c r="T24" t="n">
        <v>0</v>
      </c>
      <c r="U24" t="n">
        <v>80237.5</v>
      </c>
      <c r="V24" t="n">
        <v>6628.55</v>
      </c>
      <c r="W24" t="n">
        <v>3650</v>
      </c>
      <c r="X24" t="n">
        <v>366759.51</v>
      </c>
    </row>
    <row r="25">
      <c r="A25" t="n">
        <v>23</v>
      </c>
      <c r="B25" t="n">
        <v>3925</v>
      </c>
      <c r="C25" t="n">
        <v>6333.33</v>
      </c>
      <c r="D25" t="n">
        <v>1000</v>
      </c>
      <c r="E25" t="n">
        <v>12100</v>
      </c>
      <c r="F25" t="n">
        <v>0</v>
      </c>
      <c r="G25" t="n">
        <v>335277.24</v>
      </c>
      <c r="H25" t="n">
        <v>358635.57</v>
      </c>
      <c r="I25" t="n">
        <v>4000</v>
      </c>
      <c r="J25" t="n">
        <v>286000</v>
      </c>
      <c r="K25" t="n">
        <v>-4500</v>
      </c>
      <c r="L25" t="n">
        <v>-46016.25</v>
      </c>
      <c r="M25" t="n">
        <v>-23170.45</v>
      </c>
      <c r="N25" t="n">
        <v>216313.3</v>
      </c>
      <c r="O25" t="n">
        <v>251313.3</v>
      </c>
      <c r="P25" t="n">
        <v>2000</v>
      </c>
      <c r="Q25" t="n">
        <v>33250</v>
      </c>
      <c r="R25" t="n">
        <v>10416.67</v>
      </c>
      <c r="S25" t="n">
        <v>7100</v>
      </c>
      <c r="T25" t="n">
        <v>10000</v>
      </c>
      <c r="U25" t="n">
        <v>68775</v>
      </c>
      <c r="V25" t="n">
        <v>9130.6</v>
      </c>
      <c r="W25" t="n">
        <v>3650</v>
      </c>
      <c r="X25" t="n">
        <v>358635.57</v>
      </c>
    </row>
    <row r="26">
      <c r="A26" t="n">
        <v>24</v>
      </c>
      <c r="B26" t="n">
        <v>3808.33</v>
      </c>
      <c r="C26" t="n">
        <v>6150</v>
      </c>
      <c r="D26" t="n">
        <v>1000</v>
      </c>
      <c r="E26" t="n">
        <v>35876.5</v>
      </c>
      <c r="F26" t="n">
        <v>0</v>
      </c>
      <c r="G26" t="n">
        <v>326722.51</v>
      </c>
      <c r="H26" t="n">
        <v>373557.34</v>
      </c>
      <c r="I26" t="n">
        <v>4000</v>
      </c>
      <c r="J26" t="n">
        <v>286000</v>
      </c>
      <c r="K26" t="n">
        <v>-4500</v>
      </c>
      <c r="L26" t="n">
        <v>-46016.25</v>
      </c>
      <c r="M26" t="n">
        <v>-10624.46</v>
      </c>
      <c r="N26" t="n">
        <v>228859.29</v>
      </c>
      <c r="O26" t="n">
        <v>263859.29</v>
      </c>
      <c r="P26" t="n">
        <v>2000</v>
      </c>
      <c r="Q26" t="n">
        <v>31500</v>
      </c>
      <c r="R26" t="n">
        <v>10000</v>
      </c>
      <c r="S26" t="n">
        <v>8500</v>
      </c>
      <c r="T26" t="n">
        <v>0</v>
      </c>
      <c r="U26" t="n">
        <v>75325</v>
      </c>
      <c r="V26" t="n">
        <v>15723.05</v>
      </c>
      <c r="W26" t="n">
        <v>3650</v>
      </c>
      <c r="X26" t="n">
        <v>373557.34</v>
      </c>
    </row>
    <row r="27">
      <c r="A27" t="n">
        <v>25</v>
      </c>
      <c r="B27" t="n">
        <v>3691.67</v>
      </c>
      <c r="C27" t="n">
        <v>8420.83</v>
      </c>
      <c r="D27" t="n">
        <v>1000</v>
      </c>
      <c r="E27" t="n">
        <v>12100</v>
      </c>
      <c r="F27" t="n">
        <v>245.45</v>
      </c>
      <c r="G27" t="n">
        <v>319232.09</v>
      </c>
      <c r="H27" t="n">
        <v>344690.04</v>
      </c>
      <c r="I27" t="n">
        <v>4000</v>
      </c>
      <c r="J27" t="n">
        <v>286000</v>
      </c>
      <c r="K27" t="n">
        <v>-4500</v>
      </c>
      <c r="L27" t="n">
        <v>-56640.71</v>
      </c>
      <c r="M27" t="n">
        <v>-13237.58</v>
      </c>
      <c r="N27" t="n">
        <v>215621.71</v>
      </c>
      <c r="O27" t="n">
        <v>250621.71</v>
      </c>
      <c r="P27" t="n">
        <v>2000</v>
      </c>
      <c r="Q27" t="n">
        <v>31500</v>
      </c>
      <c r="R27" t="n">
        <v>9583.33</v>
      </c>
      <c r="S27" t="n">
        <v>8675</v>
      </c>
      <c r="T27" t="n">
        <v>10000</v>
      </c>
      <c r="U27" t="n">
        <v>62225</v>
      </c>
      <c r="V27" t="n">
        <v>2340</v>
      </c>
      <c r="W27" t="n">
        <v>4745</v>
      </c>
      <c r="X27" t="n">
        <v>344690.04</v>
      </c>
    </row>
    <row r="28">
      <c r="A28" t="n">
        <v>26</v>
      </c>
      <c r="B28" t="n">
        <v>3575</v>
      </c>
      <c r="C28" t="n">
        <v>8191.67</v>
      </c>
      <c r="D28" t="n">
        <v>1000</v>
      </c>
      <c r="E28" t="n">
        <v>47976.5</v>
      </c>
      <c r="F28" t="n">
        <v>0</v>
      </c>
      <c r="G28" t="n">
        <v>305620.47</v>
      </c>
      <c r="H28" t="n">
        <v>366363.64</v>
      </c>
      <c r="I28" t="n">
        <v>4000</v>
      </c>
      <c r="J28" t="n">
        <v>286000</v>
      </c>
      <c r="K28" t="n">
        <v>-4500</v>
      </c>
      <c r="L28" t="n">
        <v>-56640.71</v>
      </c>
      <c r="M28" t="n">
        <v>-6472.91</v>
      </c>
      <c r="N28" t="n">
        <v>222386.38</v>
      </c>
      <c r="O28" t="n">
        <v>257386.38</v>
      </c>
      <c r="P28" t="n">
        <v>2000</v>
      </c>
      <c r="Q28" t="n">
        <v>31500</v>
      </c>
      <c r="R28" t="n">
        <v>9166.67</v>
      </c>
      <c r="S28" t="n">
        <v>8850</v>
      </c>
      <c r="T28" t="n">
        <v>10000</v>
      </c>
      <c r="U28" t="n">
        <v>68775</v>
      </c>
      <c r="V28" t="n">
        <v>10940.59</v>
      </c>
      <c r="W28" t="n">
        <v>4745</v>
      </c>
      <c r="X28" t="n">
        <v>366363.64</v>
      </c>
    </row>
    <row r="29">
      <c r="A29" t="n">
        <v>27</v>
      </c>
      <c r="B29" t="n">
        <v>3458.33</v>
      </c>
      <c r="C29" t="n">
        <v>7962.5</v>
      </c>
      <c r="D29" t="n">
        <v>1000</v>
      </c>
      <c r="E29" t="n">
        <v>35876.5</v>
      </c>
      <c r="F29" t="n">
        <v>0</v>
      </c>
      <c r="G29" t="n">
        <v>327154.57</v>
      </c>
      <c r="H29" t="n">
        <v>375451.9</v>
      </c>
      <c r="I29" t="n">
        <v>4000</v>
      </c>
      <c r="J29" t="n">
        <v>286000</v>
      </c>
      <c r="K29" t="n">
        <v>-4500</v>
      </c>
      <c r="L29" t="n">
        <v>-56640.71</v>
      </c>
      <c r="M29" t="n">
        <v>1759.58</v>
      </c>
      <c r="N29" t="n">
        <v>230618.88</v>
      </c>
      <c r="O29" t="n">
        <v>265618.88</v>
      </c>
      <c r="P29" t="n">
        <v>2000</v>
      </c>
      <c r="Q29" t="n">
        <v>29750</v>
      </c>
      <c r="R29" t="n">
        <v>8750</v>
      </c>
      <c r="S29" t="n">
        <v>10250</v>
      </c>
      <c r="T29" t="n">
        <v>0</v>
      </c>
      <c r="U29" t="n">
        <v>73687.5</v>
      </c>
      <c r="V29" t="n">
        <v>17650.53</v>
      </c>
      <c r="W29" t="n">
        <v>4745</v>
      </c>
      <c r="X29" t="n">
        <v>375451.9</v>
      </c>
    </row>
    <row r="30">
      <c r="A30" t="n">
        <v>28</v>
      </c>
      <c r="B30" t="n">
        <v>3341.67</v>
      </c>
      <c r="C30" t="n">
        <v>7733.33</v>
      </c>
      <c r="D30" t="n">
        <v>1000</v>
      </c>
      <c r="E30" t="n">
        <v>35876.5</v>
      </c>
      <c r="F30" t="n">
        <v>0</v>
      </c>
      <c r="G30" t="n">
        <v>319465.4</v>
      </c>
      <c r="H30" t="n">
        <v>367416.9</v>
      </c>
      <c r="I30" t="n">
        <v>4000</v>
      </c>
      <c r="J30" t="n">
        <v>286000</v>
      </c>
      <c r="K30" t="n">
        <v>-4500</v>
      </c>
      <c r="L30" t="n">
        <v>-56640.71</v>
      </c>
      <c r="M30" t="n">
        <v>-10005.67</v>
      </c>
      <c r="N30" t="n">
        <v>218853.62</v>
      </c>
      <c r="O30" t="n">
        <v>253853.62</v>
      </c>
      <c r="P30" t="n">
        <v>2000</v>
      </c>
      <c r="Q30" t="n">
        <v>29750</v>
      </c>
      <c r="R30" t="n">
        <v>8333.33</v>
      </c>
      <c r="S30" t="n">
        <v>10425</v>
      </c>
      <c r="T30" t="n">
        <v>10000</v>
      </c>
      <c r="U30" t="n">
        <v>78600</v>
      </c>
      <c r="V30" t="n">
        <v>6709.94</v>
      </c>
      <c r="W30" t="n">
        <v>4745</v>
      </c>
      <c r="X30" t="n">
        <v>367416.9</v>
      </c>
    </row>
    <row r="31">
      <c r="A31" t="n">
        <v>29</v>
      </c>
      <c r="B31" t="n">
        <v>3225</v>
      </c>
      <c r="C31" t="n">
        <v>7504.17</v>
      </c>
      <c r="D31" t="n">
        <v>1000</v>
      </c>
      <c r="E31" t="n">
        <v>71753</v>
      </c>
      <c r="F31" t="n">
        <v>0</v>
      </c>
      <c r="G31" t="n">
        <v>329220.96</v>
      </c>
      <c r="H31" t="n">
        <v>412703.13</v>
      </c>
      <c r="I31" t="n">
        <v>4000</v>
      </c>
      <c r="J31" t="n">
        <v>286000</v>
      </c>
      <c r="K31" t="n">
        <v>-4500</v>
      </c>
      <c r="L31" t="n">
        <v>-56640.71</v>
      </c>
      <c r="M31" t="n">
        <v>-303.1</v>
      </c>
      <c r="N31" t="n">
        <v>228556.19</v>
      </c>
      <c r="O31" t="n">
        <v>263556.19</v>
      </c>
      <c r="P31" t="n">
        <v>2000</v>
      </c>
      <c r="Q31" t="n">
        <v>29750</v>
      </c>
      <c r="R31" t="n">
        <v>7916.67</v>
      </c>
      <c r="S31" t="n">
        <v>10600</v>
      </c>
      <c r="T31" t="n">
        <v>10000</v>
      </c>
      <c r="U31" t="n">
        <v>101525</v>
      </c>
      <c r="V31" t="n">
        <v>19610.27</v>
      </c>
      <c r="W31" t="n">
        <v>4745</v>
      </c>
      <c r="X31" t="n">
        <v>412703.13</v>
      </c>
    </row>
    <row r="32">
      <c r="A32" t="n">
        <v>30</v>
      </c>
      <c r="B32" t="n">
        <v>3108.33</v>
      </c>
      <c r="C32" t="n">
        <v>7275</v>
      </c>
      <c r="D32" t="n">
        <v>1000</v>
      </c>
      <c r="E32" t="n">
        <v>59653</v>
      </c>
      <c r="F32" t="n">
        <v>0</v>
      </c>
      <c r="G32" t="n">
        <v>374122.24</v>
      </c>
      <c r="H32" t="n">
        <v>445158.58</v>
      </c>
      <c r="I32" t="n">
        <v>4000</v>
      </c>
      <c r="J32" t="n">
        <v>286000</v>
      </c>
      <c r="K32" t="n">
        <v>-4500</v>
      </c>
      <c r="L32" t="n">
        <v>-56640.71</v>
      </c>
      <c r="M32" t="n">
        <v>10867.29</v>
      </c>
      <c r="N32" t="n">
        <v>239726.58</v>
      </c>
      <c r="O32" t="n">
        <v>274726.58</v>
      </c>
      <c r="P32" t="n">
        <v>2000</v>
      </c>
      <c r="Q32" t="n">
        <v>28000</v>
      </c>
      <c r="R32" t="n">
        <v>7500</v>
      </c>
      <c r="S32" t="n">
        <v>12000</v>
      </c>
      <c r="T32" t="n">
        <v>0</v>
      </c>
      <c r="U32" t="n">
        <v>122812.5</v>
      </c>
      <c r="V32" t="n">
        <v>30374.49</v>
      </c>
      <c r="W32" t="n">
        <v>4745</v>
      </c>
      <c r="X32" t="n">
        <v>445158.58</v>
      </c>
    </row>
    <row r="33">
      <c r="A33" t="n">
        <v>31</v>
      </c>
      <c r="B33" t="n">
        <v>2991.67</v>
      </c>
      <c r="C33" t="n">
        <v>7045.83</v>
      </c>
      <c r="D33" t="n">
        <v>1000</v>
      </c>
      <c r="E33" t="n">
        <v>35876.5</v>
      </c>
      <c r="F33" t="n">
        <v>0</v>
      </c>
      <c r="G33" t="n">
        <v>377076.29</v>
      </c>
      <c r="H33" t="n">
        <v>423990.29</v>
      </c>
      <c r="I33" t="n">
        <v>4000</v>
      </c>
      <c r="J33" t="n">
        <v>286000</v>
      </c>
      <c r="K33" t="n">
        <v>-4500</v>
      </c>
      <c r="L33" t="n">
        <v>-56640.71</v>
      </c>
      <c r="M33" t="n">
        <v>2039.94</v>
      </c>
      <c r="N33" t="n">
        <v>230899.23</v>
      </c>
      <c r="O33" t="n">
        <v>265899.23</v>
      </c>
      <c r="P33" t="n">
        <v>2000</v>
      </c>
      <c r="Q33" t="n">
        <v>28000</v>
      </c>
      <c r="R33" t="n">
        <v>7083.33</v>
      </c>
      <c r="S33" t="n">
        <v>12175</v>
      </c>
      <c r="T33" t="n">
        <v>10000</v>
      </c>
      <c r="U33" t="n">
        <v>124450</v>
      </c>
      <c r="V33" t="n">
        <v>6637.72</v>
      </c>
      <c r="W33" t="n">
        <v>4745</v>
      </c>
      <c r="X33" t="n">
        <v>423990.29</v>
      </c>
    </row>
    <row r="34">
      <c r="A34" t="n">
        <v>32</v>
      </c>
      <c r="B34" t="n">
        <v>2875</v>
      </c>
      <c r="C34" t="n">
        <v>6816.67</v>
      </c>
      <c r="D34" t="n">
        <v>1000</v>
      </c>
      <c r="E34" t="n">
        <v>71753</v>
      </c>
      <c r="F34" t="n">
        <v>0</v>
      </c>
      <c r="G34" t="n">
        <v>386422.54</v>
      </c>
      <c r="H34" t="n">
        <v>468867.2</v>
      </c>
      <c r="I34" t="n">
        <v>4000</v>
      </c>
      <c r="J34" t="n">
        <v>286000</v>
      </c>
      <c r="K34" t="n">
        <v>-4500</v>
      </c>
      <c r="L34" t="n">
        <v>-56640.71</v>
      </c>
      <c r="M34" t="n">
        <v>14680.4</v>
      </c>
      <c r="N34" t="n">
        <v>243539.69</v>
      </c>
      <c r="O34" t="n">
        <v>278539.69</v>
      </c>
      <c r="P34" t="n">
        <v>2000</v>
      </c>
      <c r="Q34" t="n">
        <v>28000</v>
      </c>
      <c r="R34" t="n">
        <v>6666.67</v>
      </c>
      <c r="S34" t="n">
        <v>12350</v>
      </c>
      <c r="T34" t="n">
        <v>10000</v>
      </c>
      <c r="U34" t="n">
        <v>144100</v>
      </c>
      <c r="V34" t="n">
        <v>19465.84</v>
      </c>
      <c r="W34" t="n">
        <v>4745</v>
      </c>
      <c r="X34" t="n">
        <v>468867.2</v>
      </c>
    </row>
    <row r="35">
      <c r="A35" t="n">
        <v>33</v>
      </c>
      <c r="B35" t="n">
        <v>2758.33</v>
      </c>
      <c r="C35" t="n">
        <v>6587.5</v>
      </c>
      <c r="D35" t="n">
        <v>1000</v>
      </c>
      <c r="E35" t="n">
        <v>35876.5</v>
      </c>
      <c r="F35" t="n">
        <v>0</v>
      </c>
      <c r="G35" t="n">
        <v>429164.5</v>
      </c>
      <c r="H35" t="n">
        <v>475386.83</v>
      </c>
      <c r="I35" t="n">
        <v>4000</v>
      </c>
      <c r="J35" t="n">
        <v>286000</v>
      </c>
      <c r="K35" t="n">
        <v>-4500</v>
      </c>
      <c r="L35" t="n">
        <v>-56640.71</v>
      </c>
      <c r="M35" t="n">
        <v>28788.69</v>
      </c>
      <c r="N35" t="n">
        <v>257647.98</v>
      </c>
      <c r="O35" t="n">
        <v>290897.98</v>
      </c>
      <c r="P35" t="n">
        <v>2000</v>
      </c>
      <c r="Q35" t="n">
        <v>26250</v>
      </c>
      <c r="R35" t="n">
        <v>6250</v>
      </c>
      <c r="S35" t="n">
        <v>12000</v>
      </c>
      <c r="T35" t="n">
        <v>0</v>
      </c>
      <c r="U35" t="n">
        <v>142462.5</v>
      </c>
      <c r="V35" t="n">
        <v>26031.35</v>
      </c>
      <c r="W35" t="n">
        <v>4745</v>
      </c>
      <c r="X35" t="n">
        <v>475386.83</v>
      </c>
    </row>
    <row r="36">
      <c r="A36" t="n">
        <v>34</v>
      </c>
      <c r="B36" t="n">
        <v>2641.67</v>
      </c>
      <c r="C36" t="n">
        <v>6358.33</v>
      </c>
      <c r="D36" t="n">
        <v>1000</v>
      </c>
      <c r="E36" t="n">
        <v>35876.5</v>
      </c>
      <c r="F36" t="n">
        <v>0</v>
      </c>
      <c r="G36" t="n">
        <v>412275.86</v>
      </c>
      <c r="H36" t="n">
        <v>458152.36</v>
      </c>
      <c r="I36" t="n">
        <v>4000</v>
      </c>
      <c r="J36" t="n">
        <v>286000</v>
      </c>
      <c r="K36" t="n">
        <v>-4500</v>
      </c>
      <c r="L36" t="n">
        <v>-56640.71</v>
      </c>
      <c r="M36" t="n">
        <v>22907.98</v>
      </c>
      <c r="N36" t="n">
        <v>251767.27</v>
      </c>
      <c r="O36" t="n">
        <v>285017.27</v>
      </c>
      <c r="P36" t="n">
        <v>2000</v>
      </c>
      <c r="Q36" t="n">
        <v>26250</v>
      </c>
      <c r="R36" t="n">
        <v>5833.33</v>
      </c>
      <c r="S36" t="n">
        <v>12166.25</v>
      </c>
      <c r="T36" t="n">
        <v>10000</v>
      </c>
      <c r="U36" t="n">
        <v>140825</v>
      </c>
      <c r="V36" t="n">
        <v>6565.51</v>
      </c>
      <c r="W36" t="n">
        <v>4745</v>
      </c>
      <c r="X36" t="n">
        <v>458152.36</v>
      </c>
    </row>
    <row r="37">
      <c r="A37" t="n">
        <v>35</v>
      </c>
      <c r="B37" t="n">
        <v>2525</v>
      </c>
      <c r="C37" t="n">
        <v>6129.17</v>
      </c>
      <c r="D37" t="n">
        <v>1000</v>
      </c>
      <c r="E37" t="n">
        <v>47976.5</v>
      </c>
      <c r="F37" t="n">
        <v>0</v>
      </c>
      <c r="G37" t="n">
        <v>421212.8</v>
      </c>
      <c r="H37" t="n">
        <v>478843.46</v>
      </c>
      <c r="I37" t="n">
        <v>4000</v>
      </c>
      <c r="J37" t="n">
        <v>286000</v>
      </c>
      <c r="K37" t="n">
        <v>-4500</v>
      </c>
      <c r="L37" t="n">
        <v>-56640.71</v>
      </c>
      <c r="M37" t="n">
        <v>38495.09</v>
      </c>
      <c r="N37" t="n">
        <v>267354.38</v>
      </c>
      <c r="O37" t="n">
        <v>300604.38</v>
      </c>
      <c r="P37" t="n">
        <v>2000</v>
      </c>
      <c r="Q37" t="n">
        <v>26250</v>
      </c>
      <c r="R37" t="n">
        <v>5416.67</v>
      </c>
      <c r="S37" t="n">
        <v>12332.5</v>
      </c>
      <c r="T37" t="n">
        <v>10000</v>
      </c>
      <c r="U37" t="n">
        <v>137550</v>
      </c>
      <c r="V37" t="n">
        <v>15194.91</v>
      </c>
      <c r="W37" t="n">
        <v>4745</v>
      </c>
      <c r="X37" t="n">
        <v>478843.46</v>
      </c>
    </row>
    <row r="38">
      <c r="A38" t="n">
        <v>36</v>
      </c>
      <c r="B38" t="n">
        <v>2408.33</v>
      </c>
      <c r="C38" t="n">
        <v>5900</v>
      </c>
      <c r="D38" t="n">
        <v>1000</v>
      </c>
      <c r="E38" t="n">
        <v>59653</v>
      </c>
      <c r="F38" t="n">
        <v>0</v>
      </c>
      <c r="G38" t="n">
        <v>439795.19</v>
      </c>
      <c r="H38" t="n">
        <v>508756.52</v>
      </c>
      <c r="I38" t="n">
        <v>4000</v>
      </c>
      <c r="J38" t="n">
        <v>286000</v>
      </c>
      <c r="K38" t="n">
        <v>-4500</v>
      </c>
      <c r="L38" t="n">
        <v>-56640.71</v>
      </c>
      <c r="M38" t="n">
        <v>55550.02</v>
      </c>
      <c r="N38" t="n">
        <v>284409.31</v>
      </c>
      <c r="O38" t="n">
        <v>315909.31</v>
      </c>
      <c r="P38" t="n">
        <v>2000</v>
      </c>
      <c r="Q38" t="n">
        <v>24500</v>
      </c>
      <c r="R38" t="n">
        <v>5000</v>
      </c>
      <c r="S38" t="n">
        <v>12000</v>
      </c>
      <c r="T38" t="n">
        <v>0</v>
      </c>
      <c r="U38" t="n">
        <v>152287.5</v>
      </c>
      <c r="V38" t="n">
        <v>25814.71</v>
      </c>
      <c r="W38" t="n">
        <v>4745</v>
      </c>
      <c r="X38" t="n">
        <v>508756.52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nombre</t>
        </is>
      </c>
      <c r="B1" t="inlineStr">
        <is>
          <t>"v11"</t>
        </is>
      </c>
    </row>
    <row r="2">
      <c r="A2" t="inlineStr">
        <is>
          <t>meses</t>
        </is>
      </c>
      <c r="B2" t="inlineStr">
        <is>
          <t>36</t>
        </is>
      </c>
    </row>
    <row r="3">
      <c r="A3" t="inlineStr">
        <is>
          <t>puestas_en_marcha</t>
        </is>
      </c>
      <c r="B3" t="inlineStr">
        <is>
          <t>[5, 7, 9, 14, 16, 18, 20, 22, 24, 26, 27, 29, 30, 32, 33, 35, 36]</t>
        </is>
      </c>
    </row>
    <row r="4">
      <c r="A4" t="inlineStr">
        <is>
          <t>bajas</t>
        </is>
      </c>
      <c r="B4" t="inlineStr">
        <is>
          <t>[[9, 21], [14, 26]]</t>
        </is>
      </c>
    </row>
    <row r="5">
      <c r="A5" t="inlineStr">
        <is>
          <t>precio_implantacion</t>
        </is>
      </c>
      <c r="B5" t="inlineStr">
        <is>
          <t>20000.0</t>
        </is>
      </c>
    </row>
    <row r="6">
      <c r="A6" t="inlineStr">
        <is>
          <t>precio_licencia</t>
        </is>
      </c>
      <c r="B6" t="inlineStr">
        <is>
          <t>19650.0</t>
        </is>
      </c>
    </row>
    <row r="7">
      <c r="A7" t="inlineStr">
        <is>
          <t>parte_implantacion_firma</t>
        </is>
      </c>
      <c r="B7" t="inlineStr">
        <is>
          <t>0.5</t>
        </is>
      </c>
    </row>
    <row r="8">
      <c r="A8" t="inlineStr">
        <is>
          <t>cobro_meses</t>
        </is>
      </c>
      <c r="B8" t="inlineStr">
        <is>
          <t>1</t>
        </is>
      </c>
    </row>
    <row r="9">
      <c r="A9" t="inlineStr">
        <is>
          <t>plantilla</t>
        </is>
      </c>
      <c r="B9" t="inlineStr">
        <is>
          <t>[["Fundador (dirección y negocio)", 50000.0, 1], ["Fundador (datos y plataforma)", 40000.0, 1], ["Ingeniero de implantación y soporte", 30000.0, 13], ["Responsable comercial del sector", 36000.0, 25]]</t>
        </is>
      </c>
    </row>
    <row r="10">
      <c r="A10" t="inlineStr">
        <is>
          <t>recortes_fundadores</t>
        </is>
      </c>
      <c r="B10" t="inlineStr">
        <is>
          <t>[[1, 5, 0.5]]</t>
        </is>
      </c>
    </row>
    <row r="11">
      <c r="A11" t="inlineStr">
        <is>
          <t>cargas_sociales</t>
        </is>
      </c>
      <c r="B11" t="inlineStr">
        <is>
          <t>0.3</t>
        </is>
      </c>
    </row>
    <row r="12">
      <c r="A12" t="inlineStr">
        <is>
          <t>ss_trabajador</t>
        </is>
      </c>
      <c r="B12" t="inlineStr">
        <is>
          <t>0.065</t>
        </is>
      </c>
    </row>
    <row r="13">
      <c r="A13" t="inlineStr">
        <is>
          <t>retencion_irpf</t>
        </is>
      </c>
      <c r="B13" t="inlineStr">
        <is>
          <t>0.18</t>
        </is>
      </c>
    </row>
    <row r="14">
      <c r="A14" t="inlineStr">
        <is>
          <t>gastos_anuales</t>
        </is>
      </c>
      <c r="B14" t="inlineStr">
        <is>
          <t>{"Nube (cómputo, almacenamiento, demos)": [7200.0, 9600.0, 12000.0], "Asesoría jurídica": [4000.0, 8000.0, 6000.0], "Gestoría": [2400.0, 3600.0, 4800.0], "Actividad comercial y ferias": [5000.0, 15000.0, 25000.0], "Equipos menores, viajes y otros": [3000.0, 6000.0, 9000.0], "Seguros (responsabilidad civil)": [1200.0, 2000.0, 2000.0]}</t>
        </is>
      </c>
    </row>
    <row r="15">
      <c r="A15" t="inlineStr">
        <is>
          <t>herramientas_persona_mes</t>
        </is>
      </c>
      <c r="B15" t="inlineStr">
        <is>
          <t>100.0</t>
        </is>
      </c>
    </row>
    <row r="16">
      <c r="A16" t="inlineStr">
        <is>
          <t>coworking_persona_mes</t>
        </is>
      </c>
      <c r="B16" t="inlineStr">
        <is>
          <t>250.0</t>
        </is>
      </c>
    </row>
    <row r="17">
      <c r="A17" t="inlineStr">
        <is>
          <t>comision_socio</t>
        </is>
      </c>
      <c r="B17" t="inlineStr">
        <is>
          <t>0.1</t>
        </is>
      </c>
    </row>
    <row r="18">
      <c r="A18" t="inlineStr">
        <is>
          <t>comision_desde_mes</t>
        </is>
      </c>
      <c r="B18" t="inlineStr">
        <is>
          <t>13</t>
        </is>
      </c>
    </row>
    <row r="19">
      <c r="A19" t="inlineStr">
        <is>
          <t>imprevistos</t>
        </is>
      </c>
      <c r="B19" t="inlineStr">
        <is>
          <t>0.05</t>
        </is>
      </c>
    </row>
    <row r="20">
      <c r="A20" t="inlineStr">
        <is>
          <t>inversiones</t>
        </is>
      </c>
      <c r="B20" t="inlineStr">
        <is>
          <t>[[13, "Equipo del ingeniero", 2500.0, "equipo"], [14, "Marca en la EUIPO", 1000.0, "marca"], [25, "Equipo del responsable comercial", 2500.0, "equipo"]]</t>
        </is>
      </c>
    </row>
    <row r="21">
      <c r="A21" t="inlineStr">
        <is>
          <t>amortizacion</t>
        </is>
      </c>
      <c r="B21" t="inlineStr">
        <is>
          <t>{"marca": 0.1, "aplicaciones": 0.25, "mobiliario": 0.1, "equipo": 0.25}</t>
        </is>
      </c>
    </row>
    <row r="22">
      <c r="A22" t="inlineStr">
        <is>
          <t>reparto_equipo</t>
        </is>
      </c>
      <c r="B22" t="inlineStr">
        <is>
          <t>{"equipo": 0.8, "mobiliario": 0.2}</t>
        </is>
      </c>
    </row>
    <row r="23">
      <c r="A23" t="inlineStr">
        <is>
          <t>activo_inicial</t>
        </is>
      </c>
      <c r="B23" t="inlineStr">
        <is>
          <t>{"marca": 500.0, "aplicaciones": 5000.0, "mobiliario": 1500.0, "equipo": 6000.0}</t>
        </is>
      </c>
    </row>
    <row r="24">
      <c r="A24" t="inlineStr">
        <is>
          <t>fianza</t>
        </is>
      </c>
      <c r="B24" t="inlineStr">
        <is>
          <t>1000.0</t>
        </is>
      </c>
    </row>
    <row r="25">
      <c r="A25" t="inlineStr">
        <is>
          <t>capital_fundadores</t>
        </is>
      </c>
      <c r="B25" t="inlineStr">
        <is>
          <t>3000.0</t>
        </is>
      </c>
    </row>
    <row r="26">
      <c r="A26" t="inlineStr">
        <is>
          <t>prima_fundadores</t>
        </is>
      </c>
      <c r="B26" t="inlineStr">
        <is>
          <t>37000.0</t>
        </is>
      </c>
    </row>
    <row r="27">
      <c r="A27" t="inlineStr">
        <is>
          <t>gastos_constitucion</t>
        </is>
      </c>
      <c r="B27" t="inlineStr">
        <is>
          <t>1500.0</t>
        </is>
      </c>
    </row>
    <row r="28">
      <c r="A28" t="inlineStr">
        <is>
          <t>enisa</t>
        </is>
      </c>
      <c r="B28" t="inlineStr">
        <is>
          <t>{"importe": 35000.0, "interes": 0.06, "carencia_meses": 24, "plazo_meses": 84, "comision_apertura": 0.005, "mes_cobro": 6}</t>
        </is>
      </c>
    </row>
    <row r="29">
      <c r="A29" t="inlineStr">
        <is>
          <t>banco</t>
        </is>
      </c>
      <c r="B29" t="inlineStr">
        <is>
          <t>{"importe": 20000.0, "interes": 0.065, "carencia_meses": 12, "plazo_meses": 60}</t>
        </is>
      </c>
    </row>
    <row r="30">
      <c r="A30" t="inlineStr">
        <is>
          <t>ronda</t>
        </is>
      </c>
      <c r="B30" t="inlineStr">
        <is>
          <t>{"mes": 12, "importe": 250000.0, "participacion": 0.25, "gastos": 3000.0}</t>
        </is>
      </c>
    </row>
    <row r="31">
      <c r="A31" t="inlineStr">
        <is>
          <t>iva</t>
        </is>
      </c>
      <c r="B31" t="inlineStr">
        <is>
          <t>0.21</t>
        </is>
      </c>
    </row>
    <row r="32">
      <c r="A32" t="inlineStr">
        <is>
          <t>tipo_is</t>
        </is>
      </c>
      <c r="B32" t="inlineStr">
        <is>
          <t>0.15</t>
        </is>
      </c>
    </row>
    <row r="33">
      <c r="A33" t="inlineStr">
        <is>
          <t>mes_pago_is</t>
        </is>
      </c>
      <c r="B33" t="inlineStr">
        <is>
          <t>7</t>
        </is>
      </c>
    </row>
    <row r="34">
      <c r="A34" t="inlineStr">
        <is>
          <t>ipc_licencia</t>
        </is>
      </c>
      <c r="B34" t="inlineStr">
        <is>
          <t>0.0</t>
        </is>
      </c>
    </row>
    <row r="35">
      <c r="A35" t="inlineStr">
        <is>
          <t>contrataciones_ligadas</t>
        </is>
      </c>
      <c r="B35" t="inlineStr">
        <is>
          <t>{"13": 3, "25": 9}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2026-10-21T18:49:55Z</dcterms:created>
  <dcterms:modified xmlns:dcterms="http://purl.org/dc/terms/" xmlns:xsi="http://www.w3.org/2001/XMLSchema-instance" xsi:type="dcterms:W3CDTF">2026-10-21T18:49:55Z</dcterms:modified>
</cp:coreProperties>
</file>