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tonPolenyaka\Documents\Claude\Projects\UPC - TFM - GridPredic - Full\Analisis BD Calser\"/>
    </mc:Choice>
  </mc:AlternateContent>
  <xr:revisionPtr revIDLastSave="0" documentId="13_ncr:1_{139FAB82-5E3D-4487-AFD2-8F62D1AC9D1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unicipios" sheetId="1" r:id="rId1"/>
    <sheet name="Notas" sheetId="2" r:id="rId2"/>
  </sheets>
  <definedNames>
    <definedName name="_xlnm._FilterDatabase" localSheetId="0" hidden="1">Municipios!$A$1:$N$74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2" l="1"/>
  <c r="M75" i="1"/>
  <c r="L75" i="1"/>
  <c r="K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<sst xmlns="http://schemas.openxmlformats.org/spreadsheetml/2006/main" count="557" uniqueCount="272">
  <si>
    <t>Distribuidora</t>
  </si>
  <si>
    <t>Municipio</t>
  </si>
  <si>
    <t>Coordenadas (lat, lon)</t>
  </si>
  <si>
    <t>El tiempo (AEMET, 7 dias)</t>
  </si>
  <si>
    <t>El tiempo (AEMET, por horas)</t>
  </si>
  <si>
    <t>Latitud</t>
  </si>
  <si>
    <t>Longitud</t>
  </si>
  <si>
    <t>Provincia</t>
  </si>
  <si>
    <t>Codigo INE</t>
  </si>
  <si>
    <t>Tipo de zona</t>
  </si>
  <si>
    <t>N CTs</t>
  </si>
  <si>
    <t>N abonados</t>
  </si>
  <si>
    <t>Potencia instalada (kVA)</t>
  </si>
  <si>
    <t>URL AEMET 7 dias</t>
  </si>
  <si>
    <t>Abadía</t>
  </si>
  <si>
    <t>Ver 7 dias</t>
  </si>
  <si>
    <t>Ver por horas</t>
  </si>
  <si>
    <t>Cáceres</t>
  </si>
  <si>
    <t>10001</t>
  </si>
  <si>
    <t>Rural concentrada</t>
  </si>
  <si>
    <t>https://www.aemet.es/es/eltiempo/prediccion/municipios/abadia-id10001</t>
  </si>
  <si>
    <t>Ahigal</t>
  </si>
  <si>
    <t>10006</t>
  </si>
  <si>
    <t>https://www.aemet.es/es/eltiempo/prediccion/municipios/ahigal-id10006</t>
  </si>
  <si>
    <t>Albalá</t>
  </si>
  <si>
    <t>10007</t>
  </si>
  <si>
    <t>https://www.aemet.es/es/eltiempo/prediccion/municipios/albala-id10007</t>
  </si>
  <si>
    <t>Alcuéscar</t>
  </si>
  <si>
    <t>10010</t>
  </si>
  <si>
    <t>Semiurbana</t>
  </si>
  <si>
    <t>https://www.aemet.es/es/eltiempo/prediccion/municipios/alcuescar-id10010</t>
  </si>
  <si>
    <t>Aldea del Cano</t>
  </si>
  <si>
    <t>10012</t>
  </si>
  <si>
    <t>https://www.aemet.es/es/eltiempo/prediccion/municipios/aldea-del-cano-id10012</t>
  </si>
  <si>
    <t>Aldeanueva del Camino</t>
  </si>
  <si>
    <t>10015</t>
  </si>
  <si>
    <t>https://www.aemet.es/es/eltiempo/prediccion/municipios/aldeanueva-del-camino-id10015</t>
  </si>
  <si>
    <t>Almoharín</t>
  </si>
  <si>
    <t>10020</t>
  </si>
  <si>
    <t>https://www.aemet.es/es/eltiempo/prediccion/municipios/almoharin-id10020</t>
  </si>
  <si>
    <t>Arroyomolinos</t>
  </si>
  <si>
    <t>10023</t>
  </si>
  <si>
    <t>https://www.aemet.es/es/eltiempo/prediccion/municipios/arroyomolinos-id10023</t>
  </si>
  <si>
    <t>Barrado</t>
  </si>
  <si>
    <t>10025</t>
  </si>
  <si>
    <t>https://www.aemet.es/es/eltiempo/prediccion/municipios/barrado-id10025</t>
  </si>
  <si>
    <t>Baños de Montemayor</t>
  </si>
  <si>
    <t>10024</t>
  </si>
  <si>
    <t>https://www.aemet.es/es/eltiempo/prediccion/municipios/banos-de-montemayor-id10024</t>
  </si>
  <si>
    <t>Benquerencia</t>
  </si>
  <si>
    <t>10027</t>
  </si>
  <si>
    <t>Rural dispersa</t>
  </si>
  <si>
    <t>https://www.aemet.es/es/eltiempo/prediccion/municipios/benquerencia-id10027</t>
  </si>
  <si>
    <t>Botija</t>
  </si>
  <si>
    <t>10031</t>
  </si>
  <si>
    <t>https://www.aemet.es/es/eltiempo/prediccion/municipios/botija-id10031</t>
  </si>
  <si>
    <t>Cabezabellosa</t>
  </si>
  <si>
    <t>10034</t>
  </si>
  <si>
    <t>https://www.aemet.es/es/eltiempo/prediccion/municipios/cabezabellosa-id10034</t>
  </si>
  <si>
    <t>Cabezuela del Valle</t>
  </si>
  <si>
    <t>10035</t>
  </si>
  <si>
    <t>https://www.aemet.es/es/eltiempo/prediccion/municipios/cabezuela-del-valle-id10035</t>
  </si>
  <si>
    <t>Cabrero</t>
  </si>
  <si>
    <t>10036</t>
  </si>
  <si>
    <t>https://www.aemet.es/es/eltiempo/prediccion/municipios/cabrero-id10036</t>
  </si>
  <si>
    <t>Casas de Don Antonio</t>
  </si>
  <si>
    <t>10052</t>
  </si>
  <si>
    <t>https://www.aemet.es/es/eltiempo/prediccion/municipios/casas-de-don-antonio-id10052</t>
  </si>
  <si>
    <t>Casas del Castañar</t>
  </si>
  <si>
    <t>10054</t>
  </si>
  <si>
    <t>https://www.aemet.es/es/eltiempo/prediccion/municipios/casas-del-castanar-id10054</t>
  </si>
  <si>
    <t>Casas del Monte</t>
  </si>
  <si>
    <t>10055</t>
  </si>
  <si>
    <t>https://www.aemet.es/es/eltiempo/prediccion/municipios/casas-del-monte-id10055</t>
  </si>
  <si>
    <t>El Torno</t>
  </si>
  <si>
    <t>10184</t>
  </si>
  <si>
    <t>https://www.aemet.es/es/eltiempo/prediccion/municipios/torno-el-id10184</t>
  </si>
  <si>
    <t>Gargantilla</t>
  </si>
  <si>
    <t>10080</t>
  </si>
  <si>
    <t>https://www.aemet.es/es/eltiempo/prediccion/municipios/gargantilla-id10080</t>
  </si>
  <si>
    <t>Guijo de Granadilla</t>
  </si>
  <si>
    <t>10090</t>
  </si>
  <si>
    <t>https://www.aemet.es/es/eltiempo/prediccion/municipios/guijo-de-granadilla-id10090</t>
  </si>
  <si>
    <t>Hervás</t>
  </si>
  <si>
    <t>10096</t>
  </si>
  <si>
    <t>https://www.aemet.es/es/eltiempo/prediccion/municipios/hervas-id10096</t>
  </si>
  <si>
    <t>Jarilla</t>
  </si>
  <si>
    <t>10106</t>
  </si>
  <si>
    <t>https://www.aemet.es/es/eltiempo/prediccion/municipios/jarilla-id10106</t>
  </si>
  <si>
    <t>Jerte</t>
  </si>
  <si>
    <t>10107</t>
  </si>
  <si>
    <t>https://www.aemet.es/es/eltiempo/prediccion/municipios/jerte-id10107</t>
  </si>
  <si>
    <t>La Granja</t>
  </si>
  <si>
    <t>10086</t>
  </si>
  <si>
    <t>https://www.aemet.es/es/eltiempo/prediccion/municipios/granja-la-id10086</t>
  </si>
  <si>
    <t>Montánchez</t>
  </si>
  <si>
    <t>10126</t>
  </si>
  <si>
    <t>https://www.aemet.es/es/eltiempo/prediccion/municipios/montanchez-id10126</t>
  </si>
  <si>
    <t>Navaconcejo</t>
  </si>
  <si>
    <t>10130</t>
  </si>
  <si>
    <t>https://www.aemet.es/es/eltiempo/prediccion/municipios/navaconcejo-id10130</t>
  </si>
  <si>
    <t>Oliva de Plasencia</t>
  </si>
  <si>
    <t>10136</t>
  </si>
  <si>
    <t>https://www.aemet.es/es/eltiempo/prediccion/municipios/oliva-de-plasencia-id10136</t>
  </si>
  <si>
    <t>Piornal</t>
  </si>
  <si>
    <t>10147</t>
  </si>
  <si>
    <t>https://www.aemet.es/es/eltiempo/prediccion/municipios/piornal-id10147</t>
  </si>
  <si>
    <t>Plasencia</t>
  </si>
  <si>
    <t>10148</t>
  </si>
  <si>
    <t>https://www.aemet.es/es/eltiempo/prediccion/municipios/plasencia-id10148</t>
  </si>
  <si>
    <t>Plasenzuela</t>
  </si>
  <si>
    <t>10149</t>
  </si>
  <si>
    <t>https://www.aemet.es/es/eltiempo/prediccion/municipios/plasenzuela-id10149</t>
  </si>
  <si>
    <t>Rebollar</t>
  </si>
  <si>
    <t>10154</t>
  </si>
  <si>
    <t>https://www.aemet.es/es/eltiempo/prediccion/municipios/rebollar-id10154</t>
  </si>
  <si>
    <t>Robledillo de Trujillo</t>
  </si>
  <si>
    <t>10158</t>
  </si>
  <si>
    <t>https://www.aemet.es/es/eltiempo/prediccion/municipios/robledillo-de-trujillo-id10158</t>
  </si>
  <si>
    <t>Ruanes</t>
  </si>
  <si>
    <t>10161</t>
  </si>
  <si>
    <t>https://www.aemet.es/es/eltiempo/prediccion/municipios/ruanes-id10161</t>
  </si>
  <si>
    <t>Salvatierra de Santiago</t>
  </si>
  <si>
    <t>10163</t>
  </si>
  <si>
    <t>https://www.aemet.es/es/eltiempo/prediccion/municipios/salvatierra-de-santiago-id10163</t>
  </si>
  <si>
    <t>Santa Ana</t>
  </si>
  <si>
    <t>10165</t>
  </si>
  <si>
    <t>https://www.aemet.es/es/eltiempo/prediccion/municipios/santa-ana-id10165</t>
  </si>
  <si>
    <t>Santibáñez el Bajo</t>
  </si>
  <si>
    <t>10172</t>
  </si>
  <si>
    <t>https://www.aemet.es/es/eltiempo/prediccion/municipios/santibanez-el-bajo-id10172</t>
  </si>
  <si>
    <t>Segura de Toro</t>
  </si>
  <si>
    <t>10174</t>
  </si>
  <si>
    <t>https://www.aemet.es/es/eltiempo/prediccion/municipios/segura-de-toro-id10174</t>
  </si>
  <si>
    <t>Tornavacas</t>
  </si>
  <si>
    <t>10183</t>
  </si>
  <si>
    <t>https://www.aemet.es/es/eltiempo/prediccion/municipios/tornavacas-id10183</t>
  </si>
  <si>
    <t>Torre de Santa María</t>
  </si>
  <si>
    <t>10188</t>
  </si>
  <si>
    <t>https://www.aemet.es/es/eltiempo/prediccion/municipios/torre-de-santa-maria-id10188</t>
  </si>
  <si>
    <t>Valdastillas</t>
  </si>
  <si>
    <t>10196</t>
  </si>
  <si>
    <t>https://www.aemet.es/es/eltiempo/prediccion/municipios/valdastillas-id10196</t>
  </si>
  <si>
    <t>Valdefuentes</t>
  </si>
  <si>
    <t>10198</t>
  </si>
  <si>
    <t>https://www.aemet.es/es/eltiempo/prediccion/municipios/valdefuentes-id10198</t>
  </si>
  <si>
    <t>Valdemorales</t>
  </si>
  <si>
    <t>10201</t>
  </si>
  <si>
    <t>https://www.aemet.es/es/eltiempo/prediccion/municipios/valdemorales-id10201</t>
  </si>
  <si>
    <t>Villar de Plasencia</t>
  </si>
  <si>
    <t>10214</t>
  </si>
  <si>
    <t>https://www.aemet.es/es/eltiempo/prediccion/municipios/villar-de-plasencia-id10214</t>
  </si>
  <si>
    <t>Zarza de Granadilla</t>
  </si>
  <si>
    <t>10216</t>
  </si>
  <si>
    <t>https://www.aemet.es/es/eltiempo/prediccion/municipios/zarza-de-granadilla-id10216</t>
  </si>
  <si>
    <t>Zarza de Montánchez</t>
  </si>
  <si>
    <t>10217</t>
  </si>
  <si>
    <t>https://www.aemet.es/es/eltiempo/prediccion/municipios/zarza-de-montanchez-id10217</t>
  </si>
  <si>
    <t>Acehuche</t>
  </si>
  <si>
    <t>10004</t>
  </si>
  <si>
    <t>https://www.aemet.es/es/eltiempo/prediccion/municipios/acehuche-id10004</t>
  </si>
  <si>
    <t>Alcántara</t>
  </si>
  <si>
    <t>10008</t>
  </si>
  <si>
    <t>https://www.aemet.es/es/eltiempo/prediccion/municipios/alcantara-id10008</t>
  </si>
  <si>
    <t>Brozas</t>
  </si>
  <si>
    <t>10032</t>
  </si>
  <si>
    <t>https://www.aemet.es/es/eltiempo/prediccion/municipios/brozas-id10032</t>
  </si>
  <si>
    <t>Cachorrilla</t>
  </si>
  <si>
    <t>10038</t>
  </si>
  <si>
    <t>https://www.aemet.es/es/eltiempo/prediccion/municipios/cachorrilla-id10038</t>
  </si>
  <si>
    <t>Casar de Cáceres</t>
  </si>
  <si>
    <t>10049</t>
  </si>
  <si>
    <t>https://www.aemet.es/es/eltiempo/prediccion/municipios/casar-de-caceres-id10049</t>
  </si>
  <si>
    <t>Casas de Millán</t>
  </si>
  <si>
    <t>10056</t>
  </si>
  <si>
    <t>https://www.aemet.es/es/eltiempo/prediccion/municipios/casas-de-millan-id10056</t>
  </si>
  <si>
    <t>Cañaveral</t>
  </si>
  <si>
    <t>10045</t>
  </si>
  <si>
    <t>https://www.aemet.es/es/eltiempo/prediccion/municipios/canaveral-id10045</t>
  </si>
  <si>
    <t>Ceclavín</t>
  </si>
  <si>
    <t>10061</t>
  </si>
  <si>
    <t>https://www.aemet.es/es/eltiempo/prediccion/municipios/ceclavin-id10061</t>
  </si>
  <si>
    <t>Coria</t>
  </si>
  <si>
    <t>10067</t>
  </si>
  <si>
    <t>https://www.aemet.es/es/eltiempo/prediccion/municipios/coria-id10067</t>
  </si>
  <si>
    <t>10037</t>
  </si>
  <si>
    <t>Urbana</t>
  </si>
  <si>
    <t>https://www.aemet.es/es/eltiempo/prediccion/municipios/caceres-id10037</t>
  </si>
  <si>
    <t>Garrovillas de Alconétar</t>
  </si>
  <si>
    <t>10082</t>
  </si>
  <si>
    <t>https://www.aemet.es/es/eltiempo/prediccion/municipios/garrovillas-de-alconetar-id10082</t>
  </si>
  <si>
    <t>Mata de Alcántara</t>
  </si>
  <si>
    <t>10118</t>
  </si>
  <si>
    <t>https://www.aemet.es/es/eltiempo/prediccion/municipios/mata-de-alcantara-id10118</t>
  </si>
  <si>
    <t>Navas del Madroño</t>
  </si>
  <si>
    <t>10133</t>
  </si>
  <si>
    <t>https://www.aemet.es/es/eltiempo/prediccion/municipios/navas-del-madrono-id10133</t>
  </si>
  <si>
    <t>Pedroso de Acim</t>
  </si>
  <si>
    <t>10139</t>
  </si>
  <si>
    <t>https://www.aemet.es/es/eltiempo/prediccion/municipios/pedroso-de-acim-id10139</t>
  </si>
  <si>
    <t>Pescueza</t>
  </si>
  <si>
    <t>10143</t>
  </si>
  <si>
    <t>https://www.aemet.es/es/eltiempo/prediccion/municipios/pescueza-id10143</t>
  </si>
  <si>
    <t>Piedras Albas</t>
  </si>
  <si>
    <t>10145</t>
  </si>
  <si>
    <t>https://www.aemet.es/es/eltiempo/prediccion/municipios/piedras-albas-id10145</t>
  </si>
  <si>
    <t>Portaje</t>
  </si>
  <si>
    <t>10150</t>
  </si>
  <si>
    <t>https://www.aemet.es/es/eltiempo/prediccion/municipios/portaje-id10150</t>
  </si>
  <si>
    <t>Portezuelo</t>
  </si>
  <si>
    <t>10151</t>
  </si>
  <si>
    <t>https://www.aemet.es/es/eltiempo/prediccion/municipios/portezuelo-id10151</t>
  </si>
  <si>
    <t>Santa Marta de Magasca</t>
  </si>
  <si>
    <t>10168</t>
  </si>
  <si>
    <t>https://www.aemet.es/es/eltiempo/prediccion/municipios/santa-marta-de-magasca-id10168</t>
  </si>
  <si>
    <t>Sierra de Fuentes</t>
  </si>
  <si>
    <t>10177</t>
  </si>
  <si>
    <t>https://www.aemet.es/es/eltiempo/prediccion/municipios/sierra-de-fuentes-id10177</t>
  </si>
  <si>
    <t>Torrejoncillo</t>
  </si>
  <si>
    <t>10189</t>
  </si>
  <si>
    <t>https://www.aemet.es/es/eltiempo/prediccion/municipios/torrejoncillo-id10189</t>
  </si>
  <si>
    <t>Torremocha</t>
  </si>
  <si>
    <t>10192</t>
  </si>
  <si>
    <t>https://www.aemet.es/es/eltiempo/prediccion/municipios/torremocha-id10192</t>
  </si>
  <si>
    <t>Torreorgaz</t>
  </si>
  <si>
    <t>10193</t>
  </si>
  <si>
    <t>https://www.aemet.es/es/eltiempo/prediccion/municipios/torreorgaz-id10193</t>
  </si>
  <si>
    <t>Torrequemada</t>
  </si>
  <si>
    <t>10194</t>
  </si>
  <si>
    <t>https://www.aemet.es/es/eltiempo/prediccion/municipios/torrequemada-id10194</t>
  </si>
  <si>
    <t>Villa del Rey</t>
  </si>
  <si>
    <t>10208</t>
  </si>
  <si>
    <t>https://www.aemet.es/es/eltiempo/prediccion/municipios/villa-del-rey-id10208</t>
  </si>
  <si>
    <t>Zarza la Mayor</t>
  </si>
  <si>
    <t>10218</t>
  </si>
  <si>
    <t>https://www.aemet.es/es/eltiempo/prediccion/municipios/zarza-la-mayor-id10218</t>
  </si>
  <si>
    <t>Valle de Santa Ana</t>
  </si>
  <si>
    <t>Badajoz</t>
  </si>
  <si>
    <t>06148</t>
  </si>
  <si>
    <t>https://www.aemet.es/es/eltiempo/prediccion/municipios/valle-de-santa-ana-id06148</t>
  </si>
  <si>
    <t>TOTAL</t>
  </si>
  <si>
    <t>Contenido</t>
  </si>
  <si>
    <t>Municipios del periodo DEFAULT (el vigente) de Calser_Distribuidora1/2/3.</t>
  </si>
  <si>
    <t>Distribuidora 1</t>
  </si>
  <si>
    <t>ELECTRICA DEL OESTE DISTRIBUCION SLU (CNMC R1-035) - 46 municipios, 755 CTs</t>
  </si>
  <si>
    <t>Distribuidora 2</t>
  </si>
  <si>
    <t>ELECTRICAS PITARCH DISTRIBUCION SLU (CNMC R1-049) - 26 municipios, 568 CTs</t>
  </si>
  <si>
    <t>Distribuidora 3</t>
  </si>
  <si>
    <t>D.E. VALLE DE SANTA ANA (CNMC R1-164) - 1 municipio, 10 CTs</t>
  </si>
  <si>
    <t>Total</t>
  </si>
  <si>
    <t>Enlaces del tiempo</t>
  </si>
  <si>
    <t>AEMET (Agencia Estatal de Meteorologia), gratuito y oficial. Dos vistas por municipio:</t>
  </si>
  <si>
    <t xml:space="preserve">  - '7 dias': tabla de prediccion diaria para la proxima semana.</t>
  </si>
  <si>
    <t xml:space="preserve">  - 'por horas': prediccion hora a hora hasta 48 horas.</t>
  </si>
  <si>
    <t>Patron de URL: .../prediccion/municipios/&lt;slug&gt;-id&lt;codigo INE&gt;  (y .../municipios/horas/&lt;slug&gt;-id&lt;INE&gt;)</t>
  </si>
  <si>
    <t>Los 73 enlaces se han abierto y comprobado uno a uno el 25/08/2026: todos muestran la prediccion</t>
  </si>
  <si>
    <t>del municipio correcto, sin avisos de redireccion.</t>
  </si>
  <si>
    <t>Ojo con el slug: AEMET pospone el articulo (La Granja -&gt; granja-la, El Torno -&gt; torno-el).</t>
  </si>
  <si>
    <t>Coordenadas</t>
  </si>
  <si>
    <t>API de geocodificacion de Open-Meteo (base GeoNames), consultada el 25/08/2026.</t>
  </si>
  <si>
    <t>Sirven para consultar cualquier API meteorologica por lat/lon, p.ej. Open-Meteo o AEMET OpenData.</t>
  </si>
  <si>
    <t>Contrastadas ademas con las que la propia AEMET publica en cada ficha municipal: coinciden</t>
  </si>
  <si>
    <t>(Barrado, Botija, Benquerencia, Rebollar, Piornal... diferencias por debajo de 300 m).</t>
  </si>
  <si>
    <t>Columnas de red (N CTs, N abonados, Potencia instalada)</t>
  </si>
  <si>
    <t>Calculadas sobre la tabla 'cts' en el mismo periodo DEFAULT. La potencia instalada es la suma de</t>
  </si>
  <si>
    <t>CT_POTENCIA_INSTAL; recuerda que en el 37-48% de los CTs vale 0 y Calser la sustituye internamente</t>
  </si>
  <si>
    <t>por la potencia contratada MT (ver BASE_CONOCIMIENTO_PROBLEMAS_CALSER.md, punto P10).</t>
  </si>
  <si>
    <t>Pendiente</t>
  </si>
  <si>
    <t>Numero de eventos objetivo (target) por municipio: requiere una consulta adicional a la BD.</t>
  </si>
  <si>
    <t>Aviso</t>
  </si>
  <si>
    <t>En Distribuidora 1 y 2 hay ademas un registro '(municipio nulo)' con provincia 00, sin CTs ni</t>
  </si>
  <si>
    <t>correspondencia real. Se ha excluido por no ser un municipio.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</si>
</sst>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0000"/>
    <numFmt numFmtId="166" formatCode="#,##0.0"/>
  </numFmts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u/>
      <sz val="11"/>
      <color rgb="FF0563C1"/>
      <name val="Arial"/>
      <charset val="1"/>
    </font>
    <font>
      <b/>
      <sz val="11"/>
      <name val="Arial"/>
      <charset val="1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7FB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 applyAlignment="1">
      <alignment horizontal="right"/>
    </xf>
    <xf numFmtId="165" fontId="2" fillId="0" borderId="1" xfId="0" applyNumberFormat="1" applyFont="1" applyBorder="1" applyAlignment="1">
      <alignment horizontal="center"/>
    </xf>
    <xf numFmtId="3" fontId="2" fillId="0" borderId="1" xfId="0" applyNumberFormat="1" applyFont="1" applyBorder="1"/>
    <xf numFmtId="166" fontId="2" fillId="0" borderId="1" xfId="0" applyNumberFormat="1" applyFont="1" applyBorder="1"/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/>
    <xf numFmtId="0" fontId="3" fillId="3" borderId="1" xfId="0" applyFont="1" applyFill="1" applyBorder="1"/>
    <xf numFmtId="164" fontId="2" fillId="3" borderId="1" xfId="0" applyNumberFormat="1" applyFont="1" applyFill="1" applyBorder="1" applyAlignment="1">
      <alignment horizontal="right"/>
    </xf>
    <xf numFmtId="165" fontId="2" fillId="3" borderId="1" xfId="0" applyNumberFormat="1" applyFont="1" applyFill="1" applyBorder="1" applyAlignment="1">
      <alignment horizontal="center"/>
    </xf>
    <xf numFmtId="3" fontId="2" fillId="3" borderId="1" xfId="0" applyNumberFormat="1" applyFont="1" applyFill="1" applyBorder="1"/>
    <xf numFmtId="166" fontId="2" fillId="3" borderId="1" xfId="0" applyNumberFormat="1" applyFont="1" applyFill="1" applyBorder="1"/>
    <xf numFmtId="0" fontId="0" fillId="0" borderId="1" xfId="0" applyBorder="1"/>
    <xf numFmtId="0" fontId="4" fillId="0" borderId="1" xfId="0" applyFont="1" applyBorder="1"/>
    <xf numFmtId="3" fontId="4" fillId="0" borderId="1" xfId="0" applyNumberFormat="1" applyFont="1" applyBorder="1"/>
    <xf numFmtId="166" fontId="4" fillId="0" borderId="1" xfId="0" applyNumberFormat="1" applyFont="1" applyBorder="1"/>
    <xf numFmtId="0" fontId="4" fillId="0" borderId="0" xfId="0" applyFont="1"/>
    <xf numFmtId="0" fontId="2" fillId="0" borderId="0" xfId="0" applyFont="1"/>
    <xf numFmtId="0" fontId="5" fillId="0" borderId="1" xfId="1" applyBorder="1"/>
    <xf numFmtId="0" fontId="5" fillId="3" borderId="1" xfId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7FB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emet.es/es/eltiempo/prediccion/municipios/navas-del-madrono-id10133" TargetMode="External"/><Relationship Id="rId21" Type="http://schemas.openxmlformats.org/officeDocument/2006/relationships/hyperlink" Target="https://www.aemet.es/es/eltiempo/prediccion/municipios/benquerencia-id10027" TargetMode="External"/><Relationship Id="rId42" Type="http://schemas.openxmlformats.org/officeDocument/2006/relationships/hyperlink" Target="https://www.aemet.es/es/eltiempo/prediccion/municipios/horas/guijo-de-granadilla-id10090" TargetMode="External"/><Relationship Id="rId63" Type="http://schemas.openxmlformats.org/officeDocument/2006/relationships/hyperlink" Target="https://www.aemet.es/es/eltiempo/prediccion/municipios/rebollar-id10154" TargetMode="External"/><Relationship Id="rId84" Type="http://schemas.openxmlformats.org/officeDocument/2006/relationships/hyperlink" Target="https://www.aemet.es/es/eltiempo/prediccion/municipios/horas/valdefuentes-id10198" TargetMode="External"/><Relationship Id="rId138" Type="http://schemas.openxmlformats.org/officeDocument/2006/relationships/hyperlink" Target="https://www.aemet.es/es/eltiempo/prediccion/municipios/horas/torreorgaz-id10193" TargetMode="External"/><Relationship Id="rId159" Type="http://schemas.openxmlformats.org/officeDocument/2006/relationships/hyperlink" Target="https://www.aemet.es/es/eltiempo/prediccion/municipios/cabezabellosa-id10034" TargetMode="External"/><Relationship Id="rId170" Type="http://schemas.openxmlformats.org/officeDocument/2006/relationships/hyperlink" Target="https://www.aemet.es/es/eltiempo/prediccion/municipios/jerte-id10107" TargetMode="External"/><Relationship Id="rId191" Type="http://schemas.openxmlformats.org/officeDocument/2006/relationships/hyperlink" Target="https://www.aemet.es/es/eltiempo/prediccion/municipios/navas-del-madrono-id10133" TargetMode="External"/><Relationship Id="rId205" Type="http://schemas.openxmlformats.org/officeDocument/2006/relationships/hyperlink" Target="https://www.aemet.es/es/eltiempo/prediccion/municipios/zarza-de-granadilla-id10216" TargetMode="External"/><Relationship Id="rId107" Type="http://schemas.openxmlformats.org/officeDocument/2006/relationships/hyperlink" Target="https://www.aemet.es/es/eltiempo/prediccion/municipios/ceclavin-id10061" TargetMode="External"/><Relationship Id="rId11" Type="http://schemas.openxmlformats.org/officeDocument/2006/relationships/hyperlink" Target="https://www.aemet.es/es/eltiempo/prediccion/municipios/aldeanueva-del-camino-id10015" TargetMode="External"/><Relationship Id="rId32" Type="http://schemas.openxmlformats.org/officeDocument/2006/relationships/hyperlink" Target="https://www.aemet.es/es/eltiempo/prediccion/municipios/horas/casas-de-don-antonio-id10052" TargetMode="External"/><Relationship Id="rId53" Type="http://schemas.openxmlformats.org/officeDocument/2006/relationships/hyperlink" Target="https://www.aemet.es/es/eltiempo/prediccion/municipios/navaconcejo-id10130" TargetMode="External"/><Relationship Id="rId74" Type="http://schemas.openxmlformats.org/officeDocument/2006/relationships/hyperlink" Target="https://www.aemet.es/es/eltiempo/prediccion/municipios/horas/santibanez-el-bajo-id10172" TargetMode="External"/><Relationship Id="rId128" Type="http://schemas.openxmlformats.org/officeDocument/2006/relationships/hyperlink" Target="https://www.aemet.es/es/eltiempo/prediccion/municipios/horas/portezuelo-id10151" TargetMode="External"/><Relationship Id="rId149" Type="http://schemas.openxmlformats.org/officeDocument/2006/relationships/hyperlink" Target="https://www.aemet.es/es/eltiempo/prediccion/municipios/albala-id10007" TargetMode="External"/><Relationship Id="rId5" Type="http://schemas.openxmlformats.org/officeDocument/2006/relationships/hyperlink" Target="https://www.aemet.es/es/eltiempo/prediccion/municipios/albala-id10007" TargetMode="External"/><Relationship Id="rId95" Type="http://schemas.openxmlformats.org/officeDocument/2006/relationships/hyperlink" Target="https://www.aemet.es/es/eltiempo/prediccion/municipios/alcantara-id10008" TargetMode="External"/><Relationship Id="rId160" Type="http://schemas.openxmlformats.org/officeDocument/2006/relationships/hyperlink" Target="https://www.aemet.es/es/eltiempo/prediccion/municipios/cabezuela-del-valle-id10035" TargetMode="External"/><Relationship Id="rId181" Type="http://schemas.openxmlformats.org/officeDocument/2006/relationships/hyperlink" Target="https://www.aemet.es/es/eltiempo/prediccion/municipios/torreorgaz-id10193" TargetMode="External"/><Relationship Id="rId216" Type="http://schemas.openxmlformats.org/officeDocument/2006/relationships/hyperlink" Target="https://www.aemet.es/es/eltiempo/prediccion/municipios/ruanes-id10161" TargetMode="External"/><Relationship Id="rId22" Type="http://schemas.openxmlformats.org/officeDocument/2006/relationships/hyperlink" Target="https://www.aemet.es/es/eltiempo/prediccion/municipios/horas/benquerencia-id10027" TargetMode="External"/><Relationship Id="rId43" Type="http://schemas.openxmlformats.org/officeDocument/2006/relationships/hyperlink" Target="https://www.aemet.es/es/eltiempo/prediccion/municipios/hervas-id10096" TargetMode="External"/><Relationship Id="rId64" Type="http://schemas.openxmlformats.org/officeDocument/2006/relationships/hyperlink" Target="https://www.aemet.es/es/eltiempo/prediccion/municipios/horas/rebollar-id10154" TargetMode="External"/><Relationship Id="rId118" Type="http://schemas.openxmlformats.org/officeDocument/2006/relationships/hyperlink" Target="https://www.aemet.es/es/eltiempo/prediccion/municipios/horas/navas-del-madrono-id10133" TargetMode="External"/><Relationship Id="rId139" Type="http://schemas.openxmlformats.org/officeDocument/2006/relationships/hyperlink" Target="https://www.aemet.es/es/eltiempo/prediccion/municipios/torrequemada-id10194" TargetMode="External"/><Relationship Id="rId85" Type="http://schemas.openxmlformats.org/officeDocument/2006/relationships/hyperlink" Target="https://www.aemet.es/es/eltiempo/prediccion/municipios/valdemorales-id10201" TargetMode="External"/><Relationship Id="rId150" Type="http://schemas.openxmlformats.org/officeDocument/2006/relationships/hyperlink" Target="https://www.aemet.es/es/eltiempo/prediccion/municipios/alcuescar-id10010" TargetMode="External"/><Relationship Id="rId171" Type="http://schemas.openxmlformats.org/officeDocument/2006/relationships/hyperlink" Target="https://www.aemet.es/es/eltiempo/prediccion/municipios/granja-la-id10086" TargetMode="External"/><Relationship Id="rId192" Type="http://schemas.openxmlformats.org/officeDocument/2006/relationships/hyperlink" Target="https://www.aemet.es/es/eltiempo/prediccion/municipios/mata-de-alcantara-id10118" TargetMode="External"/><Relationship Id="rId206" Type="http://schemas.openxmlformats.org/officeDocument/2006/relationships/hyperlink" Target="https://www.aemet.es/es/eltiempo/prediccion/municipios/valdemorales-id10201" TargetMode="External"/><Relationship Id="rId12" Type="http://schemas.openxmlformats.org/officeDocument/2006/relationships/hyperlink" Target="https://www.aemet.es/es/eltiempo/prediccion/municipios/horas/aldeanueva-del-camino-id10015" TargetMode="External"/><Relationship Id="rId33" Type="http://schemas.openxmlformats.org/officeDocument/2006/relationships/hyperlink" Target="https://www.aemet.es/es/eltiempo/prediccion/municipios/casas-del-castanar-id10054" TargetMode="External"/><Relationship Id="rId108" Type="http://schemas.openxmlformats.org/officeDocument/2006/relationships/hyperlink" Target="https://www.aemet.es/es/eltiempo/prediccion/municipios/horas/ceclavin-id10061" TargetMode="External"/><Relationship Id="rId129" Type="http://schemas.openxmlformats.org/officeDocument/2006/relationships/hyperlink" Target="https://www.aemet.es/es/eltiempo/prediccion/municipios/santa-marta-de-magasca-id10168" TargetMode="External"/><Relationship Id="rId54" Type="http://schemas.openxmlformats.org/officeDocument/2006/relationships/hyperlink" Target="https://www.aemet.es/es/eltiempo/prediccion/municipios/horas/navaconcejo-id10130" TargetMode="External"/><Relationship Id="rId75" Type="http://schemas.openxmlformats.org/officeDocument/2006/relationships/hyperlink" Target="https://www.aemet.es/es/eltiempo/prediccion/municipios/segura-de-toro-id10174" TargetMode="External"/><Relationship Id="rId96" Type="http://schemas.openxmlformats.org/officeDocument/2006/relationships/hyperlink" Target="https://www.aemet.es/es/eltiempo/prediccion/municipios/horas/alcantara-id10008" TargetMode="External"/><Relationship Id="rId140" Type="http://schemas.openxmlformats.org/officeDocument/2006/relationships/hyperlink" Target="https://www.aemet.es/es/eltiempo/prediccion/municipios/horas/torrequemada-id10194" TargetMode="External"/><Relationship Id="rId161" Type="http://schemas.openxmlformats.org/officeDocument/2006/relationships/hyperlink" Target="https://www.aemet.es/es/eltiempo/prediccion/municipios/cabrero-id10036" TargetMode="External"/><Relationship Id="rId182" Type="http://schemas.openxmlformats.org/officeDocument/2006/relationships/hyperlink" Target="https://www.aemet.es/es/eltiempo/prediccion/municipios/torremocha-id10192" TargetMode="External"/><Relationship Id="rId217" Type="http://schemas.openxmlformats.org/officeDocument/2006/relationships/hyperlink" Target="https://www.aemet.es/es/eltiempo/prediccion/municipios/robledillo-de-trujillo-id10158" TargetMode="External"/><Relationship Id="rId6" Type="http://schemas.openxmlformats.org/officeDocument/2006/relationships/hyperlink" Target="https://www.aemet.es/es/eltiempo/prediccion/municipios/horas/albala-id10007" TargetMode="External"/><Relationship Id="rId23" Type="http://schemas.openxmlformats.org/officeDocument/2006/relationships/hyperlink" Target="https://www.aemet.es/es/eltiempo/prediccion/municipios/botija-id10031" TargetMode="External"/><Relationship Id="rId119" Type="http://schemas.openxmlformats.org/officeDocument/2006/relationships/hyperlink" Target="https://www.aemet.es/es/eltiempo/prediccion/municipios/pedroso-de-acim-id10139" TargetMode="External"/><Relationship Id="rId44" Type="http://schemas.openxmlformats.org/officeDocument/2006/relationships/hyperlink" Target="https://www.aemet.es/es/eltiempo/prediccion/municipios/horas/hervas-id10096" TargetMode="External"/><Relationship Id="rId65" Type="http://schemas.openxmlformats.org/officeDocument/2006/relationships/hyperlink" Target="https://www.aemet.es/es/eltiempo/prediccion/municipios/robledillo-de-trujillo-id10158" TargetMode="External"/><Relationship Id="rId86" Type="http://schemas.openxmlformats.org/officeDocument/2006/relationships/hyperlink" Target="https://www.aemet.es/es/eltiempo/prediccion/municipios/horas/valdemorales-id10201" TargetMode="External"/><Relationship Id="rId130" Type="http://schemas.openxmlformats.org/officeDocument/2006/relationships/hyperlink" Target="https://www.aemet.es/es/eltiempo/prediccion/municipios/horas/santa-marta-de-magasca-id10168" TargetMode="External"/><Relationship Id="rId151" Type="http://schemas.openxmlformats.org/officeDocument/2006/relationships/hyperlink" Target="https://www.aemet.es/es/eltiempo/prediccion/municipios/aldea-del-cano-id10012" TargetMode="External"/><Relationship Id="rId172" Type="http://schemas.openxmlformats.org/officeDocument/2006/relationships/hyperlink" Target="https://www.aemet.es/es/eltiempo/prediccion/municipios/montanchez-id10126" TargetMode="External"/><Relationship Id="rId193" Type="http://schemas.openxmlformats.org/officeDocument/2006/relationships/hyperlink" Target="https://www.aemet.es/es/eltiempo/prediccion/municipios/garrovillas-de-alconetar-id10082" TargetMode="External"/><Relationship Id="rId207" Type="http://schemas.openxmlformats.org/officeDocument/2006/relationships/hyperlink" Target="https://www.aemet.es/es/eltiempo/prediccion/municipios/valdefuentes-id10198" TargetMode="External"/><Relationship Id="rId13" Type="http://schemas.openxmlformats.org/officeDocument/2006/relationships/hyperlink" Target="https://www.aemet.es/es/eltiempo/prediccion/municipios/almoharin-id10020" TargetMode="External"/><Relationship Id="rId109" Type="http://schemas.openxmlformats.org/officeDocument/2006/relationships/hyperlink" Target="https://www.aemet.es/es/eltiempo/prediccion/municipios/coria-id10067" TargetMode="External"/><Relationship Id="rId34" Type="http://schemas.openxmlformats.org/officeDocument/2006/relationships/hyperlink" Target="https://www.aemet.es/es/eltiempo/prediccion/municipios/horas/casas-del-castanar-id10054" TargetMode="External"/><Relationship Id="rId55" Type="http://schemas.openxmlformats.org/officeDocument/2006/relationships/hyperlink" Target="https://www.aemet.es/es/eltiempo/prediccion/municipios/oliva-de-plasencia-id10136" TargetMode="External"/><Relationship Id="rId76" Type="http://schemas.openxmlformats.org/officeDocument/2006/relationships/hyperlink" Target="https://www.aemet.es/es/eltiempo/prediccion/municipios/horas/segura-de-toro-id10174" TargetMode="External"/><Relationship Id="rId97" Type="http://schemas.openxmlformats.org/officeDocument/2006/relationships/hyperlink" Target="https://www.aemet.es/es/eltiempo/prediccion/municipios/brozas-id10032" TargetMode="External"/><Relationship Id="rId120" Type="http://schemas.openxmlformats.org/officeDocument/2006/relationships/hyperlink" Target="https://www.aemet.es/es/eltiempo/prediccion/municipios/horas/pedroso-de-acim-id10139" TargetMode="External"/><Relationship Id="rId141" Type="http://schemas.openxmlformats.org/officeDocument/2006/relationships/hyperlink" Target="https://www.aemet.es/es/eltiempo/prediccion/municipios/villa-del-rey-id10208" TargetMode="External"/><Relationship Id="rId7" Type="http://schemas.openxmlformats.org/officeDocument/2006/relationships/hyperlink" Target="https://www.aemet.es/es/eltiempo/prediccion/municipios/alcuescar-id10010" TargetMode="External"/><Relationship Id="rId162" Type="http://schemas.openxmlformats.org/officeDocument/2006/relationships/hyperlink" Target="https://www.aemet.es/es/eltiempo/prediccion/municipios/casas-de-don-antonio-id10052" TargetMode="External"/><Relationship Id="rId183" Type="http://schemas.openxmlformats.org/officeDocument/2006/relationships/hyperlink" Target="https://www.aemet.es/es/eltiempo/prediccion/municipios/torrejoncillo-id10189" TargetMode="External"/><Relationship Id="rId218" Type="http://schemas.openxmlformats.org/officeDocument/2006/relationships/hyperlink" Target="https://www.aemet.es/es/eltiempo/prediccion/municipios/rebollar-id10154" TargetMode="External"/><Relationship Id="rId24" Type="http://schemas.openxmlformats.org/officeDocument/2006/relationships/hyperlink" Target="https://www.aemet.es/es/eltiempo/prediccion/municipios/horas/botija-id10031" TargetMode="External"/><Relationship Id="rId45" Type="http://schemas.openxmlformats.org/officeDocument/2006/relationships/hyperlink" Target="https://www.aemet.es/es/eltiempo/prediccion/municipios/jarilla-id10106" TargetMode="External"/><Relationship Id="rId66" Type="http://schemas.openxmlformats.org/officeDocument/2006/relationships/hyperlink" Target="https://www.aemet.es/es/eltiempo/prediccion/municipios/horas/robledillo-de-trujillo-id10158" TargetMode="External"/><Relationship Id="rId87" Type="http://schemas.openxmlformats.org/officeDocument/2006/relationships/hyperlink" Target="https://www.aemet.es/es/eltiempo/prediccion/municipios/villar-de-plasencia-id10214" TargetMode="External"/><Relationship Id="rId110" Type="http://schemas.openxmlformats.org/officeDocument/2006/relationships/hyperlink" Target="https://www.aemet.es/es/eltiempo/prediccion/municipios/horas/coria-id10067" TargetMode="External"/><Relationship Id="rId131" Type="http://schemas.openxmlformats.org/officeDocument/2006/relationships/hyperlink" Target="https://www.aemet.es/es/eltiempo/prediccion/municipios/sierra-de-fuentes-id10177" TargetMode="External"/><Relationship Id="rId152" Type="http://schemas.openxmlformats.org/officeDocument/2006/relationships/hyperlink" Target="https://www.aemet.es/es/eltiempo/prediccion/municipios/aldeanueva-del-camino-id10015" TargetMode="External"/><Relationship Id="rId173" Type="http://schemas.openxmlformats.org/officeDocument/2006/relationships/hyperlink" Target="https://www.aemet.es/es/eltiempo/prediccion/municipios/navaconcejo-id10130" TargetMode="External"/><Relationship Id="rId194" Type="http://schemas.openxmlformats.org/officeDocument/2006/relationships/hyperlink" Target="https://www.aemet.es/es/eltiempo/prediccion/municipios/caceres-id10037" TargetMode="External"/><Relationship Id="rId208" Type="http://schemas.openxmlformats.org/officeDocument/2006/relationships/hyperlink" Target="https://www.aemet.es/es/eltiempo/prediccion/municipios/valdastillas-id10196" TargetMode="External"/><Relationship Id="rId14" Type="http://schemas.openxmlformats.org/officeDocument/2006/relationships/hyperlink" Target="https://www.aemet.es/es/eltiempo/prediccion/municipios/horas/almoharin-id10020" TargetMode="External"/><Relationship Id="rId30" Type="http://schemas.openxmlformats.org/officeDocument/2006/relationships/hyperlink" Target="https://www.aemet.es/es/eltiempo/prediccion/municipios/horas/cabrero-id10036" TargetMode="External"/><Relationship Id="rId35" Type="http://schemas.openxmlformats.org/officeDocument/2006/relationships/hyperlink" Target="https://www.aemet.es/es/eltiempo/prediccion/municipios/casas-del-monte-id10055" TargetMode="External"/><Relationship Id="rId56" Type="http://schemas.openxmlformats.org/officeDocument/2006/relationships/hyperlink" Target="https://www.aemet.es/es/eltiempo/prediccion/municipios/horas/oliva-de-plasencia-id10136" TargetMode="External"/><Relationship Id="rId77" Type="http://schemas.openxmlformats.org/officeDocument/2006/relationships/hyperlink" Target="https://www.aemet.es/es/eltiempo/prediccion/municipios/tornavacas-id10183" TargetMode="External"/><Relationship Id="rId100" Type="http://schemas.openxmlformats.org/officeDocument/2006/relationships/hyperlink" Target="https://www.aemet.es/es/eltiempo/prediccion/municipios/horas/cachorrilla-id10038" TargetMode="External"/><Relationship Id="rId105" Type="http://schemas.openxmlformats.org/officeDocument/2006/relationships/hyperlink" Target="https://www.aemet.es/es/eltiempo/prediccion/municipios/canaveral-id10045" TargetMode="External"/><Relationship Id="rId126" Type="http://schemas.openxmlformats.org/officeDocument/2006/relationships/hyperlink" Target="https://www.aemet.es/es/eltiempo/prediccion/municipios/horas/portaje-id10150" TargetMode="External"/><Relationship Id="rId147" Type="http://schemas.openxmlformats.org/officeDocument/2006/relationships/hyperlink" Target="https://www.aemet.es/es/eltiempo/prediccion/municipios/abadia-id10001" TargetMode="External"/><Relationship Id="rId168" Type="http://schemas.openxmlformats.org/officeDocument/2006/relationships/hyperlink" Target="https://www.aemet.es/es/eltiempo/prediccion/municipios/hervas-id10096" TargetMode="External"/><Relationship Id="rId8" Type="http://schemas.openxmlformats.org/officeDocument/2006/relationships/hyperlink" Target="https://www.aemet.es/es/eltiempo/prediccion/municipios/horas/alcuescar-id10010" TargetMode="External"/><Relationship Id="rId51" Type="http://schemas.openxmlformats.org/officeDocument/2006/relationships/hyperlink" Target="https://www.aemet.es/es/eltiempo/prediccion/municipios/montanchez-id10126" TargetMode="External"/><Relationship Id="rId72" Type="http://schemas.openxmlformats.org/officeDocument/2006/relationships/hyperlink" Target="https://www.aemet.es/es/eltiempo/prediccion/municipios/horas/santa-ana-id10165" TargetMode="External"/><Relationship Id="rId93" Type="http://schemas.openxmlformats.org/officeDocument/2006/relationships/hyperlink" Target="https://www.aemet.es/es/eltiempo/prediccion/municipios/acehuche-id10004" TargetMode="External"/><Relationship Id="rId98" Type="http://schemas.openxmlformats.org/officeDocument/2006/relationships/hyperlink" Target="https://www.aemet.es/es/eltiempo/prediccion/municipios/horas/brozas-id10032" TargetMode="External"/><Relationship Id="rId121" Type="http://schemas.openxmlformats.org/officeDocument/2006/relationships/hyperlink" Target="https://www.aemet.es/es/eltiempo/prediccion/municipios/pescueza-id10143" TargetMode="External"/><Relationship Id="rId142" Type="http://schemas.openxmlformats.org/officeDocument/2006/relationships/hyperlink" Target="https://www.aemet.es/es/eltiempo/prediccion/municipios/horas/villa-del-rey-id10208" TargetMode="External"/><Relationship Id="rId163" Type="http://schemas.openxmlformats.org/officeDocument/2006/relationships/hyperlink" Target="https://www.aemet.es/es/eltiempo/prediccion/municipios/casas-del-castanar-id10054" TargetMode="External"/><Relationship Id="rId184" Type="http://schemas.openxmlformats.org/officeDocument/2006/relationships/hyperlink" Target="https://www.aemet.es/es/eltiempo/prediccion/municipios/sierra-de-fuentes-id10177" TargetMode="External"/><Relationship Id="rId189" Type="http://schemas.openxmlformats.org/officeDocument/2006/relationships/hyperlink" Target="https://www.aemet.es/es/eltiempo/prediccion/municipios/pescueza-id10143" TargetMode="External"/><Relationship Id="rId219" Type="http://schemas.openxmlformats.org/officeDocument/2006/relationships/hyperlink" Target="https://www.aemet.es/es/eltiempo/prediccion/municipios/plasenzuela-id10149" TargetMode="External"/><Relationship Id="rId3" Type="http://schemas.openxmlformats.org/officeDocument/2006/relationships/hyperlink" Target="https://www.aemet.es/es/eltiempo/prediccion/municipios/ahigal-id10006" TargetMode="External"/><Relationship Id="rId214" Type="http://schemas.openxmlformats.org/officeDocument/2006/relationships/hyperlink" Target="https://www.aemet.es/es/eltiempo/prediccion/municipios/santa-ana-id10165" TargetMode="External"/><Relationship Id="rId25" Type="http://schemas.openxmlformats.org/officeDocument/2006/relationships/hyperlink" Target="https://www.aemet.es/es/eltiempo/prediccion/municipios/cabezabellosa-id10034" TargetMode="External"/><Relationship Id="rId46" Type="http://schemas.openxmlformats.org/officeDocument/2006/relationships/hyperlink" Target="https://www.aemet.es/es/eltiempo/prediccion/municipios/horas/jarilla-id10106" TargetMode="External"/><Relationship Id="rId67" Type="http://schemas.openxmlformats.org/officeDocument/2006/relationships/hyperlink" Target="https://www.aemet.es/es/eltiempo/prediccion/municipios/ruanes-id10161" TargetMode="External"/><Relationship Id="rId116" Type="http://schemas.openxmlformats.org/officeDocument/2006/relationships/hyperlink" Target="https://www.aemet.es/es/eltiempo/prediccion/municipios/horas/mata-de-alcantara-id10118" TargetMode="External"/><Relationship Id="rId137" Type="http://schemas.openxmlformats.org/officeDocument/2006/relationships/hyperlink" Target="https://www.aemet.es/es/eltiempo/prediccion/municipios/torreorgaz-id10193" TargetMode="External"/><Relationship Id="rId158" Type="http://schemas.openxmlformats.org/officeDocument/2006/relationships/hyperlink" Target="https://www.aemet.es/es/eltiempo/prediccion/municipios/botija-id10031" TargetMode="External"/><Relationship Id="rId20" Type="http://schemas.openxmlformats.org/officeDocument/2006/relationships/hyperlink" Target="https://www.aemet.es/es/eltiempo/prediccion/municipios/horas/banos-de-montemayor-id10024" TargetMode="External"/><Relationship Id="rId41" Type="http://schemas.openxmlformats.org/officeDocument/2006/relationships/hyperlink" Target="https://www.aemet.es/es/eltiempo/prediccion/municipios/guijo-de-granadilla-id10090" TargetMode="External"/><Relationship Id="rId62" Type="http://schemas.openxmlformats.org/officeDocument/2006/relationships/hyperlink" Target="https://www.aemet.es/es/eltiempo/prediccion/municipios/horas/plasenzuela-id10149" TargetMode="External"/><Relationship Id="rId83" Type="http://schemas.openxmlformats.org/officeDocument/2006/relationships/hyperlink" Target="https://www.aemet.es/es/eltiempo/prediccion/municipios/valdefuentes-id10198" TargetMode="External"/><Relationship Id="rId88" Type="http://schemas.openxmlformats.org/officeDocument/2006/relationships/hyperlink" Target="https://www.aemet.es/es/eltiempo/prediccion/municipios/horas/villar-de-plasencia-id10214" TargetMode="External"/><Relationship Id="rId111" Type="http://schemas.openxmlformats.org/officeDocument/2006/relationships/hyperlink" Target="https://www.aemet.es/es/eltiempo/prediccion/municipios/caceres-id10037" TargetMode="External"/><Relationship Id="rId132" Type="http://schemas.openxmlformats.org/officeDocument/2006/relationships/hyperlink" Target="https://www.aemet.es/es/eltiempo/prediccion/municipios/horas/sierra-de-fuentes-id10177" TargetMode="External"/><Relationship Id="rId153" Type="http://schemas.openxmlformats.org/officeDocument/2006/relationships/hyperlink" Target="https://www.aemet.es/es/eltiempo/prediccion/municipios/almoharin-id10020" TargetMode="External"/><Relationship Id="rId174" Type="http://schemas.openxmlformats.org/officeDocument/2006/relationships/hyperlink" Target="https://www.aemet.es/es/eltiempo/prediccion/municipios/oliva-de-plasencia-id10136" TargetMode="External"/><Relationship Id="rId179" Type="http://schemas.openxmlformats.org/officeDocument/2006/relationships/hyperlink" Target="https://www.aemet.es/es/eltiempo/prediccion/municipios/villa-del-rey-id10208" TargetMode="External"/><Relationship Id="rId195" Type="http://schemas.openxmlformats.org/officeDocument/2006/relationships/hyperlink" Target="https://www.aemet.es/es/eltiempo/prediccion/municipios/coria-id10067" TargetMode="External"/><Relationship Id="rId209" Type="http://schemas.openxmlformats.org/officeDocument/2006/relationships/hyperlink" Target="https://www.aemet.es/es/eltiempo/prediccion/municipios/torre-de-santa-maria-id10188" TargetMode="External"/><Relationship Id="rId190" Type="http://schemas.openxmlformats.org/officeDocument/2006/relationships/hyperlink" Target="https://www.aemet.es/es/eltiempo/prediccion/municipios/pedroso-de-acim-id10139" TargetMode="External"/><Relationship Id="rId204" Type="http://schemas.openxmlformats.org/officeDocument/2006/relationships/hyperlink" Target="https://www.aemet.es/es/eltiempo/prediccion/municipios/zarza-de-montanchez-id10217" TargetMode="External"/><Relationship Id="rId15" Type="http://schemas.openxmlformats.org/officeDocument/2006/relationships/hyperlink" Target="https://www.aemet.es/es/eltiempo/prediccion/municipios/arroyomolinos-id10023" TargetMode="External"/><Relationship Id="rId36" Type="http://schemas.openxmlformats.org/officeDocument/2006/relationships/hyperlink" Target="https://www.aemet.es/es/eltiempo/prediccion/municipios/horas/casas-del-monte-id10055" TargetMode="External"/><Relationship Id="rId57" Type="http://schemas.openxmlformats.org/officeDocument/2006/relationships/hyperlink" Target="https://www.aemet.es/es/eltiempo/prediccion/municipios/piornal-id10147" TargetMode="External"/><Relationship Id="rId106" Type="http://schemas.openxmlformats.org/officeDocument/2006/relationships/hyperlink" Target="https://www.aemet.es/es/eltiempo/prediccion/municipios/horas/canaveral-id10045" TargetMode="External"/><Relationship Id="rId127" Type="http://schemas.openxmlformats.org/officeDocument/2006/relationships/hyperlink" Target="https://www.aemet.es/es/eltiempo/prediccion/municipios/portezuelo-id10151" TargetMode="External"/><Relationship Id="rId10" Type="http://schemas.openxmlformats.org/officeDocument/2006/relationships/hyperlink" Target="https://www.aemet.es/es/eltiempo/prediccion/municipios/horas/aldea-del-cano-id10012" TargetMode="External"/><Relationship Id="rId31" Type="http://schemas.openxmlformats.org/officeDocument/2006/relationships/hyperlink" Target="https://www.aemet.es/es/eltiempo/prediccion/municipios/casas-de-don-antonio-id10052" TargetMode="External"/><Relationship Id="rId52" Type="http://schemas.openxmlformats.org/officeDocument/2006/relationships/hyperlink" Target="https://www.aemet.es/es/eltiempo/prediccion/municipios/horas/montanchez-id10126" TargetMode="External"/><Relationship Id="rId73" Type="http://schemas.openxmlformats.org/officeDocument/2006/relationships/hyperlink" Target="https://www.aemet.es/es/eltiempo/prediccion/municipios/santibanez-el-bajo-id10172" TargetMode="External"/><Relationship Id="rId78" Type="http://schemas.openxmlformats.org/officeDocument/2006/relationships/hyperlink" Target="https://www.aemet.es/es/eltiempo/prediccion/municipios/horas/tornavacas-id10183" TargetMode="External"/><Relationship Id="rId94" Type="http://schemas.openxmlformats.org/officeDocument/2006/relationships/hyperlink" Target="https://www.aemet.es/es/eltiempo/prediccion/municipios/horas/acehuche-id10004" TargetMode="External"/><Relationship Id="rId99" Type="http://schemas.openxmlformats.org/officeDocument/2006/relationships/hyperlink" Target="https://www.aemet.es/es/eltiempo/prediccion/municipios/cachorrilla-id10038" TargetMode="External"/><Relationship Id="rId101" Type="http://schemas.openxmlformats.org/officeDocument/2006/relationships/hyperlink" Target="https://www.aemet.es/es/eltiempo/prediccion/municipios/casar-de-caceres-id10049" TargetMode="External"/><Relationship Id="rId122" Type="http://schemas.openxmlformats.org/officeDocument/2006/relationships/hyperlink" Target="https://www.aemet.es/es/eltiempo/prediccion/municipios/horas/pescueza-id10143" TargetMode="External"/><Relationship Id="rId143" Type="http://schemas.openxmlformats.org/officeDocument/2006/relationships/hyperlink" Target="https://www.aemet.es/es/eltiempo/prediccion/municipios/zarza-la-mayor-id10218" TargetMode="External"/><Relationship Id="rId148" Type="http://schemas.openxmlformats.org/officeDocument/2006/relationships/hyperlink" Target="https://www.aemet.es/es/eltiempo/prediccion/municipios/ahigal-id10006" TargetMode="External"/><Relationship Id="rId164" Type="http://schemas.openxmlformats.org/officeDocument/2006/relationships/hyperlink" Target="https://www.aemet.es/es/eltiempo/prediccion/municipios/casas-del-monte-id10055" TargetMode="External"/><Relationship Id="rId169" Type="http://schemas.openxmlformats.org/officeDocument/2006/relationships/hyperlink" Target="https://www.aemet.es/es/eltiempo/prediccion/municipios/jarilla-id10106" TargetMode="External"/><Relationship Id="rId185" Type="http://schemas.openxmlformats.org/officeDocument/2006/relationships/hyperlink" Target="https://www.aemet.es/es/eltiempo/prediccion/municipios/santa-marta-de-magasca-id10168" TargetMode="External"/><Relationship Id="rId4" Type="http://schemas.openxmlformats.org/officeDocument/2006/relationships/hyperlink" Target="https://www.aemet.es/es/eltiempo/prediccion/municipios/horas/ahigal-id10006" TargetMode="External"/><Relationship Id="rId9" Type="http://schemas.openxmlformats.org/officeDocument/2006/relationships/hyperlink" Target="https://www.aemet.es/es/eltiempo/prediccion/municipios/aldea-del-cano-id10012" TargetMode="External"/><Relationship Id="rId180" Type="http://schemas.openxmlformats.org/officeDocument/2006/relationships/hyperlink" Target="https://www.aemet.es/es/eltiempo/prediccion/municipios/torrequemada-id10194" TargetMode="External"/><Relationship Id="rId210" Type="http://schemas.openxmlformats.org/officeDocument/2006/relationships/hyperlink" Target="https://www.aemet.es/es/eltiempo/prediccion/municipios/tornavacas-id10183" TargetMode="External"/><Relationship Id="rId215" Type="http://schemas.openxmlformats.org/officeDocument/2006/relationships/hyperlink" Target="https://www.aemet.es/es/eltiempo/prediccion/municipios/salvatierra-de-santiago-id10163" TargetMode="External"/><Relationship Id="rId26" Type="http://schemas.openxmlformats.org/officeDocument/2006/relationships/hyperlink" Target="https://www.aemet.es/es/eltiempo/prediccion/municipios/horas/cabezabellosa-id10034" TargetMode="External"/><Relationship Id="rId47" Type="http://schemas.openxmlformats.org/officeDocument/2006/relationships/hyperlink" Target="https://www.aemet.es/es/eltiempo/prediccion/municipios/jerte-id10107" TargetMode="External"/><Relationship Id="rId68" Type="http://schemas.openxmlformats.org/officeDocument/2006/relationships/hyperlink" Target="https://www.aemet.es/es/eltiempo/prediccion/municipios/horas/ruanes-id10161" TargetMode="External"/><Relationship Id="rId89" Type="http://schemas.openxmlformats.org/officeDocument/2006/relationships/hyperlink" Target="https://www.aemet.es/es/eltiempo/prediccion/municipios/zarza-de-granadilla-id10216" TargetMode="External"/><Relationship Id="rId112" Type="http://schemas.openxmlformats.org/officeDocument/2006/relationships/hyperlink" Target="https://www.aemet.es/es/eltiempo/prediccion/municipios/horas/caceres-id10037" TargetMode="External"/><Relationship Id="rId133" Type="http://schemas.openxmlformats.org/officeDocument/2006/relationships/hyperlink" Target="https://www.aemet.es/es/eltiempo/prediccion/municipios/torrejoncillo-id10189" TargetMode="External"/><Relationship Id="rId154" Type="http://schemas.openxmlformats.org/officeDocument/2006/relationships/hyperlink" Target="https://www.aemet.es/es/eltiempo/prediccion/municipios/arroyomolinos-id10023" TargetMode="External"/><Relationship Id="rId175" Type="http://schemas.openxmlformats.org/officeDocument/2006/relationships/hyperlink" Target="https://www.aemet.es/es/eltiempo/prediccion/municipios/piornal-id10147" TargetMode="External"/><Relationship Id="rId196" Type="http://schemas.openxmlformats.org/officeDocument/2006/relationships/hyperlink" Target="https://www.aemet.es/es/eltiempo/prediccion/municipios/ceclavin-id10061" TargetMode="External"/><Relationship Id="rId200" Type="http://schemas.openxmlformats.org/officeDocument/2006/relationships/hyperlink" Target="https://www.aemet.es/es/eltiempo/prediccion/municipios/cachorrilla-id10038" TargetMode="External"/><Relationship Id="rId16" Type="http://schemas.openxmlformats.org/officeDocument/2006/relationships/hyperlink" Target="https://www.aemet.es/es/eltiempo/prediccion/municipios/horas/arroyomolinos-id10023" TargetMode="External"/><Relationship Id="rId37" Type="http://schemas.openxmlformats.org/officeDocument/2006/relationships/hyperlink" Target="https://www.aemet.es/es/eltiempo/prediccion/municipios/torno-el-id10184" TargetMode="External"/><Relationship Id="rId58" Type="http://schemas.openxmlformats.org/officeDocument/2006/relationships/hyperlink" Target="https://www.aemet.es/es/eltiempo/prediccion/municipios/horas/piornal-id10147" TargetMode="External"/><Relationship Id="rId79" Type="http://schemas.openxmlformats.org/officeDocument/2006/relationships/hyperlink" Target="https://www.aemet.es/es/eltiempo/prediccion/municipios/torre-de-santa-maria-id10188" TargetMode="External"/><Relationship Id="rId102" Type="http://schemas.openxmlformats.org/officeDocument/2006/relationships/hyperlink" Target="https://www.aemet.es/es/eltiempo/prediccion/municipios/horas/casar-de-caceres-id10049" TargetMode="External"/><Relationship Id="rId123" Type="http://schemas.openxmlformats.org/officeDocument/2006/relationships/hyperlink" Target="https://www.aemet.es/es/eltiempo/prediccion/municipios/piedras-albas-id10145" TargetMode="External"/><Relationship Id="rId144" Type="http://schemas.openxmlformats.org/officeDocument/2006/relationships/hyperlink" Target="https://www.aemet.es/es/eltiempo/prediccion/municipios/horas/zarza-la-mayor-id10218" TargetMode="External"/><Relationship Id="rId90" Type="http://schemas.openxmlformats.org/officeDocument/2006/relationships/hyperlink" Target="https://www.aemet.es/es/eltiempo/prediccion/municipios/horas/zarza-de-granadilla-id10216" TargetMode="External"/><Relationship Id="rId165" Type="http://schemas.openxmlformats.org/officeDocument/2006/relationships/hyperlink" Target="https://www.aemet.es/es/eltiempo/prediccion/municipios/torno-el-id10184" TargetMode="External"/><Relationship Id="rId186" Type="http://schemas.openxmlformats.org/officeDocument/2006/relationships/hyperlink" Target="https://www.aemet.es/es/eltiempo/prediccion/municipios/portezuelo-id10151" TargetMode="External"/><Relationship Id="rId211" Type="http://schemas.openxmlformats.org/officeDocument/2006/relationships/hyperlink" Target="https://www.aemet.es/es/eltiempo/prediccion/municipios/villar-de-plasencia-id10214" TargetMode="External"/><Relationship Id="rId27" Type="http://schemas.openxmlformats.org/officeDocument/2006/relationships/hyperlink" Target="https://www.aemet.es/es/eltiempo/prediccion/municipios/cabezuela-del-valle-id10035" TargetMode="External"/><Relationship Id="rId48" Type="http://schemas.openxmlformats.org/officeDocument/2006/relationships/hyperlink" Target="https://www.aemet.es/es/eltiempo/prediccion/municipios/horas/jerte-id10107" TargetMode="External"/><Relationship Id="rId69" Type="http://schemas.openxmlformats.org/officeDocument/2006/relationships/hyperlink" Target="https://www.aemet.es/es/eltiempo/prediccion/municipios/salvatierra-de-santiago-id10163" TargetMode="External"/><Relationship Id="rId113" Type="http://schemas.openxmlformats.org/officeDocument/2006/relationships/hyperlink" Target="https://www.aemet.es/es/eltiempo/prediccion/municipios/garrovillas-de-alconetar-id10082" TargetMode="External"/><Relationship Id="rId134" Type="http://schemas.openxmlformats.org/officeDocument/2006/relationships/hyperlink" Target="https://www.aemet.es/es/eltiempo/prediccion/municipios/horas/torrejoncillo-id10189" TargetMode="External"/><Relationship Id="rId80" Type="http://schemas.openxmlformats.org/officeDocument/2006/relationships/hyperlink" Target="https://www.aemet.es/es/eltiempo/prediccion/municipios/horas/torre-de-santa-maria-id10188" TargetMode="External"/><Relationship Id="rId155" Type="http://schemas.openxmlformats.org/officeDocument/2006/relationships/hyperlink" Target="https://www.aemet.es/es/eltiempo/prediccion/municipios/barrado-id10025" TargetMode="External"/><Relationship Id="rId176" Type="http://schemas.openxmlformats.org/officeDocument/2006/relationships/hyperlink" Target="https://www.aemet.es/es/eltiempo/prediccion/municipios/plasencia-id10148" TargetMode="External"/><Relationship Id="rId197" Type="http://schemas.openxmlformats.org/officeDocument/2006/relationships/hyperlink" Target="https://www.aemet.es/es/eltiempo/prediccion/municipios/canaveral-id10045" TargetMode="External"/><Relationship Id="rId201" Type="http://schemas.openxmlformats.org/officeDocument/2006/relationships/hyperlink" Target="https://www.aemet.es/es/eltiempo/prediccion/municipios/brozas-id10032" TargetMode="External"/><Relationship Id="rId17" Type="http://schemas.openxmlformats.org/officeDocument/2006/relationships/hyperlink" Target="https://www.aemet.es/es/eltiempo/prediccion/municipios/barrado-id10025" TargetMode="External"/><Relationship Id="rId38" Type="http://schemas.openxmlformats.org/officeDocument/2006/relationships/hyperlink" Target="https://www.aemet.es/es/eltiempo/prediccion/municipios/horas/torno-el-id10184" TargetMode="External"/><Relationship Id="rId59" Type="http://schemas.openxmlformats.org/officeDocument/2006/relationships/hyperlink" Target="https://www.aemet.es/es/eltiempo/prediccion/municipios/plasencia-id10148" TargetMode="External"/><Relationship Id="rId103" Type="http://schemas.openxmlformats.org/officeDocument/2006/relationships/hyperlink" Target="https://www.aemet.es/es/eltiempo/prediccion/municipios/casas-de-millan-id10056" TargetMode="External"/><Relationship Id="rId124" Type="http://schemas.openxmlformats.org/officeDocument/2006/relationships/hyperlink" Target="https://www.aemet.es/es/eltiempo/prediccion/municipios/horas/piedras-albas-id10145" TargetMode="External"/><Relationship Id="rId70" Type="http://schemas.openxmlformats.org/officeDocument/2006/relationships/hyperlink" Target="https://www.aemet.es/es/eltiempo/prediccion/municipios/horas/salvatierra-de-santiago-id10163" TargetMode="External"/><Relationship Id="rId91" Type="http://schemas.openxmlformats.org/officeDocument/2006/relationships/hyperlink" Target="https://www.aemet.es/es/eltiempo/prediccion/municipios/zarza-de-montanchez-id10217" TargetMode="External"/><Relationship Id="rId145" Type="http://schemas.openxmlformats.org/officeDocument/2006/relationships/hyperlink" Target="https://www.aemet.es/es/eltiempo/prediccion/municipios/valle-de-santa-ana-id06148" TargetMode="External"/><Relationship Id="rId166" Type="http://schemas.openxmlformats.org/officeDocument/2006/relationships/hyperlink" Target="https://www.aemet.es/es/eltiempo/prediccion/municipios/gargantilla-id10080" TargetMode="External"/><Relationship Id="rId187" Type="http://schemas.openxmlformats.org/officeDocument/2006/relationships/hyperlink" Target="https://www.aemet.es/es/eltiempo/prediccion/municipios/portaje-id10150" TargetMode="External"/><Relationship Id="rId1" Type="http://schemas.openxmlformats.org/officeDocument/2006/relationships/hyperlink" Target="https://www.aemet.es/es/eltiempo/prediccion/municipios/abadia-id10001" TargetMode="External"/><Relationship Id="rId212" Type="http://schemas.openxmlformats.org/officeDocument/2006/relationships/hyperlink" Target="https://www.aemet.es/es/eltiempo/prediccion/municipios/segura-de-toro-id10174" TargetMode="External"/><Relationship Id="rId28" Type="http://schemas.openxmlformats.org/officeDocument/2006/relationships/hyperlink" Target="https://www.aemet.es/es/eltiempo/prediccion/municipios/horas/cabezuela-del-valle-id10035" TargetMode="External"/><Relationship Id="rId49" Type="http://schemas.openxmlformats.org/officeDocument/2006/relationships/hyperlink" Target="https://www.aemet.es/es/eltiempo/prediccion/municipios/granja-la-id10086" TargetMode="External"/><Relationship Id="rId114" Type="http://schemas.openxmlformats.org/officeDocument/2006/relationships/hyperlink" Target="https://www.aemet.es/es/eltiempo/prediccion/municipios/horas/garrovillas-de-alconetar-id10082" TargetMode="External"/><Relationship Id="rId60" Type="http://schemas.openxmlformats.org/officeDocument/2006/relationships/hyperlink" Target="https://www.aemet.es/es/eltiempo/prediccion/municipios/horas/plasencia-id10148" TargetMode="External"/><Relationship Id="rId81" Type="http://schemas.openxmlformats.org/officeDocument/2006/relationships/hyperlink" Target="https://www.aemet.es/es/eltiempo/prediccion/municipios/valdastillas-id10196" TargetMode="External"/><Relationship Id="rId135" Type="http://schemas.openxmlformats.org/officeDocument/2006/relationships/hyperlink" Target="https://www.aemet.es/es/eltiempo/prediccion/municipios/torremocha-id10192" TargetMode="External"/><Relationship Id="rId156" Type="http://schemas.openxmlformats.org/officeDocument/2006/relationships/hyperlink" Target="https://www.aemet.es/es/eltiempo/prediccion/municipios/banos-de-montemayor-id10024" TargetMode="External"/><Relationship Id="rId177" Type="http://schemas.openxmlformats.org/officeDocument/2006/relationships/hyperlink" Target="https://www.aemet.es/es/eltiempo/prediccion/municipios/valle-de-santa-ana-id06148" TargetMode="External"/><Relationship Id="rId198" Type="http://schemas.openxmlformats.org/officeDocument/2006/relationships/hyperlink" Target="https://www.aemet.es/es/eltiempo/prediccion/municipios/casas-de-millan-id10056" TargetMode="External"/><Relationship Id="rId202" Type="http://schemas.openxmlformats.org/officeDocument/2006/relationships/hyperlink" Target="https://www.aemet.es/es/eltiempo/prediccion/municipios/alcantara-id10008" TargetMode="External"/><Relationship Id="rId18" Type="http://schemas.openxmlformats.org/officeDocument/2006/relationships/hyperlink" Target="https://www.aemet.es/es/eltiempo/prediccion/municipios/horas/barrado-id10025" TargetMode="External"/><Relationship Id="rId39" Type="http://schemas.openxmlformats.org/officeDocument/2006/relationships/hyperlink" Target="https://www.aemet.es/es/eltiempo/prediccion/municipios/gargantilla-id10080" TargetMode="External"/><Relationship Id="rId50" Type="http://schemas.openxmlformats.org/officeDocument/2006/relationships/hyperlink" Target="https://www.aemet.es/es/eltiempo/prediccion/municipios/horas/granja-la-id10086" TargetMode="External"/><Relationship Id="rId104" Type="http://schemas.openxmlformats.org/officeDocument/2006/relationships/hyperlink" Target="https://www.aemet.es/es/eltiempo/prediccion/municipios/horas/casas-de-millan-id10056" TargetMode="External"/><Relationship Id="rId125" Type="http://schemas.openxmlformats.org/officeDocument/2006/relationships/hyperlink" Target="https://www.aemet.es/es/eltiempo/prediccion/municipios/portaje-id10150" TargetMode="External"/><Relationship Id="rId146" Type="http://schemas.openxmlformats.org/officeDocument/2006/relationships/hyperlink" Target="https://www.aemet.es/es/eltiempo/prediccion/municipios/horas/valle-de-santa-ana-id06148" TargetMode="External"/><Relationship Id="rId167" Type="http://schemas.openxmlformats.org/officeDocument/2006/relationships/hyperlink" Target="https://www.aemet.es/es/eltiempo/prediccion/municipios/guijo-de-granadilla-id10090" TargetMode="External"/><Relationship Id="rId188" Type="http://schemas.openxmlformats.org/officeDocument/2006/relationships/hyperlink" Target="https://www.aemet.es/es/eltiempo/prediccion/municipios/piedras-albas-id10145" TargetMode="External"/><Relationship Id="rId71" Type="http://schemas.openxmlformats.org/officeDocument/2006/relationships/hyperlink" Target="https://www.aemet.es/es/eltiempo/prediccion/municipios/santa-ana-id10165" TargetMode="External"/><Relationship Id="rId92" Type="http://schemas.openxmlformats.org/officeDocument/2006/relationships/hyperlink" Target="https://www.aemet.es/es/eltiempo/prediccion/municipios/horas/zarza-de-montanchez-id10217" TargetMode="External"/><Relationship Id="rId213" Type="http://schemas.openxmlformats.org/officeDocument/2006/relationships/hyperlink" Target="https://www.aemet.es/es/eltiempo/prediccion/municipios/santibanez-el-bajo-id10172" TargetMode="External"/><Relationship Id="rId2" Type="http://schemas.openxmlformats.org/officeDocument/2006/relationships/hyperlink" Target="https://www.aemet.es/es/eltiempo/prediccion/municipios/horas/abadia-id10001" TargetMode="External"/><Relationship Id="rId29" Type="http://schemas.openxmlformats.org/officeDocument/2006/relationships/hyperlink" Target="https://www.aemet.es/es/eltiempo/prediccion/municipios/cabrero-id10036" TargetMode="External"/><Relationship Id="rId40" Type="http://schemas.openxmlformats.org/officeDocument/2006/relationships/hyperlink" Target="https://www.aemet.es/es/eltiempo/prediccion/municipios/horas/gargantilla-id10080" TargetMode="External"/><Relationship Id="rId115" Type="http://schemas.openxmlformats.org/officeDocument/2006/relationships/hyperlink" Target="https://www.aemet.es/es/eltiempo/prediccion/municipios/mata-de-alcantara-id10118" TargetMode="External"/><Relationship Id="rId136" Type="http://schemas.openxmlformats.org/officeDocument/2006/relationships/hyperlink" Target="https://www.aemet.es/es/eltiempo/prediccion/municipios/horas/torremocha-id10192" TargetMode="External"/><Relationship Id="rId157" Type="http://schemas.openxmlformats.org/officeDocument/2006/relationships/hyperlink" Target="https://www.aemet.es/es/eltiempo/prediccion/municipios/benquerencia-id10027" TargetMode="External"/><Relationship Id="rId178" Type="http://schemas.openxmlformats.org/officeDocument/2006/relationships/hyperlink" Target="https://www.aemet.es/es/eltiempo/prediccion/municipios/zarza-la-mayor-id10218" TargetMode="External"/><Relationship Id="rId61" Type="http://schemas.openxmlformats.org/officeDocument/2006/relationships/hyperlink" Target="https://www.aemet.es/es/eltiempo/prediccion/municipios/plasenzuela-id10149" TargetMode="External"/><Relationship Id="rId82" Type="http://schemas.openxmlformats.org/officeDocument/2006/relationships/hyperlink" Target="https://www.aemet.es/es/eltiempo/prediccion/municipios/horas/valdastillas-id10196" TargetMode="External"/><Relationship Id="rId199" Type="http://schemas.openxmlformats.org/officeDocument/2006/relationships/hyperlink" Target="https://www.aemet.es/es/eltiempo/prediccion/municipios/casar-de-caceres-id10049" TargetMode="External"/><Relationship Id="rId203" Type="http://schemas.openxmlformats.org/officeDocument/2006/relationships/hyperlink" Target="https://www.aemet.es/es/eltiempo/prediccion/municipios/acehuche-id10004" TargetMode="External"/><Relationship Id="rId19" Type="http://schemas.openxmlformats.org/officeDocument/2006/relationships/hyperlink" Target="https://www.aemet.es/es/eltiempo/prediccion/municipios/banos-de-montemayor-id10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5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6" sqref="F6"/>
    </sheetView>
  </sheetViews>
  <sheetFormatPr baseColWidth="10" defaultColWidth="8.7109375" defaultRowHeight="15" x14ac:dyDescent="0.25"/>
  <cols>
    <col min="1" max="1" width="13" customWidth="1"/>
    <col min="2" max="2" width="26" customWidth="1"/>
    <col min="3" max="3" width="22" customWidth="1"/>
    <col min="4" max="4" width="15" customWidth="1"/>
    <col min="5" max="5" width="17" customWidth="1"/>
    <col min="6" max="9" width="11" customWidth="1"/>
    <col min="10" max="10" width="18" customWidth="1"/>
    <col min="11" max="11" width="8" customWidth="1"/>
    <col min="12" max="12" width="12" customWidth="1"/>
    <col min="13" max="13" width="13" customWidth="1"/>
    <col min="14" max="14" width="70.5703125" customWidth="1"/>
  </cols>
  <sheetData>
    <row r="1" spans="1:14" ht="4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>
        <v>1</v>
      </c>
      <c r="B2" s="3" t="s">
        <v>14</v>
      </c>
      <c r="C2" s="3" t="str">
        <f t="shared" ref="C2:C33" si="0">TEXT(F2,"0.00000")&amp;", "&amp;TEXT(G2,"0.00000")</f>
        <v>000.040, -000.006</v>
      </c>
      <c r="D2" s="4" t="s">
        <v>15</v>
      </c>
      <c r="E2" s="4" t="s">
        <v>16</v>
      </c>
      <c r="F2" s="5">
        <v>40.259219999999999</v>
      </c>
      <c r="G2" s="5">
        <v>-5.9782799999999998</v>
      </c>
      <c r="H2" s="3" t="s">
        <v>17</v>
      </c>
      <c r="I2" s="6" t="s">
        <v>18</v>
      </c>
      <c r="J2" s="3" t="s">
        <v>19</v>
      </c>
      <c r="K2" s="7">
        <v>4</v>
      </c>
      <c r="L2" s="7">
        <v>277</v>
      </c>
      <c r="M2" s="8">
        <v>650</v>
      </c>
      <c r="N2" s="22" t="s">
        <v>20</v>
      </c>
    </row>
    <row r="3" spans="1:14" x14ac:dyDescent="0.25">
      <c r="A3" s="2">
        <v>1</v>
      </c>
      <c r="B3" s="3" t="s">
        <v>21</v>
      </c>
      <c r="C3" s="3" t="str">
        <f t="shared" si="0"/>
        <v>000.040, -000.006</v>
      </c>
      <c r="D3" s="4" t="s">
        <v>15</v>
      </c>
      <c r="E3" s="4" t="s">
        <v>16</v>
      </c>
      <c r="F3" s="5">
        <v>40.189540000000001</v>
      </c>
      <c r="G3" s="5">
        <v>-6.1881500000000003</v>
      </c>
      <c r="H3" s="3" t="s">
        <v>17</v>
      </c>
      <c r="I3" s="6" t="s">
        <v>22</v>
      </c>
      <c r="J3" s="3" t="s">
        <v>19</v>
      </c>
      <c r="K3" s="7">
        <v>15</v>
      </c>
      <c r="L3" s="7">
        <v>1340</v>
      </c>
      <c r="M3" s="8">
        <v>2285</v>
      </c>
      <c r="N3" s="22" t="s">
        <v>23</v>
      </c>
    </row>
    <row r="4" spans="1:14" x14ac:dyDescent="0.25">
      <c r="A4" s="2">
        <v>1</v>
      </c>
      <c r="B4" s="3" t="s">
        <v>24</v>
      </c>
      <c r="C4" s="3" t="str">
        <f t="shared" si="0"/>
        <v>000.039, -000.006</v>
      </c>
      <c r="D4" s="4" t="s">
        <v>15</v>
      </c>
      <c r="E4" s="4" t="s">
        <v>16</v>
      </c>
      <c r="F4" s="5">
        <v>39.255920000000003</v>
      </c>
      <c r="G4" s="5">
        <v>-6.1852799999999997</v>
      </c>
      <c r="H4" s="3" t="s">
        <v>17</v>
      </c>
      <c r="I4" s="6" t="s">
        <v>25</v>
      </c>
      <c r="J4" s="3" t="s">
        <v>19</v>
      </c>
      <c r="K4" s="7">
        <v>7</v>
      </c>
      <c r="L4" s="7">
        <v>936</v>
      </c>
      <c r="M4" s="8">
        <v>1025</v>
      </c>
      <c r="N4" s="22" t="s">
        <v>26</v>
      </c>
    </row>
    <row r="5" spans="1:14" x14ac:dyDescent="0.25">
      <c r="A5" s="2">
        <v>1</v>
      </c>
      <c r="B5" s="3" t="s">
        <v>27</v>
      </c>
      <c r="C5" s="3" t="str">
        <f t="shared" si="0"/>
        <v>000.039, -000.006</v>
      </c>
      <c r="D5" s="4" t="s">
        <v>15</v>
      </c>
      <c r="E5" s="4" t="s">
        <v>16</v>
      </c>
      <c r="F5" s="5">
        <v>39.180909999999997</v>
      </c>
      <c r="G5" s="5">
        <v>-6.2291699999999999</v>
      </c>
      <c r="H5" s="3" t="s">
        <v>17</v>
      </c>
      <c r="I5" s="6" t="s">
        <v>28</v>
      </c>
      <c r="J5" s="3" t="s">
        <v>29</v>
      </c>
      <c r="K5" s="7">
        <v>36</v>
      </c>
      <c r="L5" s="7">
        <v>2239</v>
      </c>
      <c r="M5" s="8">
        <v>5690</v>
      </c>
      <c r="N5" s="22" t="s">
        <v>30</v>
      </c>
    </row>
    <row r="6" spans="1:14" x14ac:dyDescent="0.25">
      <c r="A6" s="2">
        <v>1</v>
      </c>
      <c r="B6" s="3" t="s">
        <v>31</v>
      </c>
      <c r="C6" s="3" t="str">
        <f t="shared" si="0"/>
        <v>000.039, -000.006</v>
      </c>
      <c r="D6" s="4" t="s">
        <v>15</v>
      </c>
      <c r="E6" s="4" t="s">
        <v>16</v>
      </c>
      <c r="F6" s="5">
        <v>39.288739999999997</v>
      </c>
      <c r="G6" s="5">
        <v>-6.31806</v>
      </c>
      <c r="H6" s="3" t="s">
        <v>17</v>
      </c>
      <c r="I6" s="6" t="s">
        <v>32</v>
      </c>
      <c r="J6" s="3" t="s">
        <v>19</v>
      </c>
      <c r="K6" s="7">
        <v>44</v>
      </c>
      <c r="L6" s="7">
        <v>721</v>
      </c>
      <c r="M6" s="8">
        <v>1595</v>
      </c>
      <c r="N6" s="22" t="s">
        <v>33</v>
      </c>
    </row>
    <row r="7" spans="1:14" x14ac:dyDescent="0.25">
      <c r="A7" s="2">
        <v>1</v>
      </c>
      <c r="B7" s="3" t="s">
        <v>34</v>
      </c>
      <c r="C7" s="3" t="str">
        <f t="shared" si="0"/>
        <v>000.040, -000.006</v>
      </c>
      <c r="D7" s="4" t="s">
        <v>15</v>
      </c>
      <c r="E7" s="4" t="s">
        <v>16</v>
      </c>
      <c r="F7" s="5">
        <v>40.259799999999998</v>
      </c>
      <c r="G7" s="5">
        <v>-5.9288600000000002</v>
      </c>
      <c r="H7" s="3" t="s">
        <v>17</v>
      </c>
      <c r="I7" s="6" t="s">
        <v>35</v>
      </c>
      <c r="J7" s="3" t="s">
        <v>19</v>
      </c>
      <c r="K7" s="7">
        <v>23</v>
      </c>
      <c r="L7" s="7">
        <v>949</v>
      </c>
      <c r="M7" s="8">
        <v>2780</v>
      </c>
      <c r="N7" s="22" t="s">
        <v>36</v>
      </c>
    </row>
    <row r="8" spans="1:14" x14ac:dyDescent="0.25">
      <c r="A8" s="2">
        <v>1</v>
      </c>
      <c r="B8" s="3" t="s">
        <v>37</v>
      </c>
      <c r="C8" s="3" t="str">
        <f t="shared" si="0"/>
        <v>000.039, -000.006</v>
      </c>
      <c r="D8" s="4" t="s">
        <v>15</v>
      </c>
      <c r="E8" s="4" t="s">
        <v>16</v>
      </c>
      <c r="F8" s="5">
        <v>39.176850000000002</v>
      </c>
      <c r="G8" s="5">
        <v>-6.0428300000000004</v>
      </c>
      <c r="H8" s="3" t="s">
        <v>17</v>
      </c>
      <c r="I8" s="6" t="s">
        <v>38</v>
      </c>
      <c r="J8" s="3" t="s">
        <v>19</v>
      </c>
      <c r="K8" s="7">
        <v>23</v>
      </c>
      <c r="L8" s="7">
        <v>1269</v>
      </c>
      <c r="M8" s="8">
        <v>3060</v>
      </c>
      <c r="N8" s="22" t="s">
        <v>39</v>
      </c>
    </row>
    <row r="9" spans="1:14" x14ac:dyDescent="0.25">
      <c r="A9" s="2">
        <v>1</v>
      </c>
      <c r="B9" s="3" t="s">
        <v>40</v>
      </c>
      <c r="C9" s="3" t="str">
        <f t="shared" si="0"/>
        <v>000.039, -000.006</v>
      </c>
      <c r="D9" s="4" t="s">
        <v>15</v>
      </c>
      <c r="E9" s="4" t="s">
        <v>16</v>
      </c>
      <c r="F9" s="5">
        <v>39.185670000000002</v>
      </c>
      <c r="G9" s="5">
        <v>-6.1617199999999999</v>
      </c>
      <c r="H9" s="3" t="s">
        <v>17</v>
      </c>
      <c r="I9" s="6" t="s">
        <v>41</v>
      </c>
      <c r="J9" s="3" t="s">
        <v>19</v>
      </c>
      <c r="K9" s="7">
        <v>15</v>
      </c>
      <c r="L9" s="7">
        <v>778</v>
      </c>
      <c r="M9" s="8">
        <v>1365</v>
      </c>
      <c r="N9" s="22" t="s">
        <v>42</v>
      </c>
    </row>
    <row r="10" spans="1:14" x14ac:dyDescent="0.25">
      <c r="A10" s="2">
        <v>1</v>
      </c>
      <c r="B10" s="3" t="s">
        <v>43</v>
      </c>
      <c r="C10" s="3" t="str">
        <f t="shared" si="0"/>
        <v>000.040, -000.006</v>
      </c>
      <c r="D10" s="4" t="s">
        <v>15</v>
      </c>
      <c r="E10" s="4" t="s">
        <v>16</v>
      </c>
      <c r="F10" s="5">
        <v>40.084769999999999</v>
      </c>
      <c r="G10" s="5">
        <v>-5.8806799999999999</v>
      </c>
      <c r="H10" s="3" t="s">
        <v>17</v>
      </c>
      <c r="I10" s="6" t="s">
        <v>44</v>
      </c>
      <c r="J10" s="3" t="s">
        <v>19</v>
      </c>
      <c r="K10" s="7">
        <v>3</v>
      </c>
      <c r="L10" s="7">
        <v>405</v>
      </c>
      <c r="M10" s="8">
        <v>560</v>
      </c>
      <c r="N10" s="22" t="s">
        <v>45</v>
      </c>
    </row>
    <row r="11" spans="1:14" x14ac:dyDescent="0.25">
      <c r="A11" s="2">
        <v>1</v>
      </c>
      <c r="B11" s="3" t="s">
        <v>46</v>
      </c>
      <c r="C11" s="3" t="str">
        <f t="shared" si="0"/>
        <v>000.040, -000.006</v>
      </c>
      <c r="D11" s="4" t="s">
        <v>15</v>
      </c>
      <c r="E11" s="4" t="s">
        <v>16</v>
      </c>
      <c r="F11" s="5">
        <v>40.31671</v>
      </c>
      <c r="G11" s="5">
        <v>-5.8600899999999996</v>
      </c>
      <c r="H11" s="3" t="s">
        <v>17</v>
      </c>
      <c r="I11" s="6" t="s">
        <v>47</v>
      </c>
      <c r="J11" s="3" t="s">
        <v>19</v>
      </c>
      <c r="K11" s="7">
        <v>24</v>
      </c>
      <c r="L11" s="7">
        <v>883</v>
      </c>
      <c r="M11" s="8">
        <v>3350</v>
      </c>
      <c r="N11" s="22" t="s">
        <v>48</v>
      </c>
    </row>
    <row r="12" spans="1:14" x14ac:dyDescent="0.25">
      <c r="A12" s="2">
        <v>1</v>
      </c>
      <c r="B12" s="3" t="s">
        <v>49</v>
      </c>
      <c r="C12" s="3" t="str">
        <f t="shared" si="0"/>
        <v>000.039, -000.006</v>
      </c>
      <c r="D12" s="4" t="s">
        <v>15</v>
      </c>
      <c r="E12" s="4" t="s">
        <v>16</v>
      </c>
      <c r="F12" s="5">
        <v>39.309939999999997</v>
      </c>
      <c r="G12" s="5">
        <v>-6.0846499999999999</v>
      </c>
      <c r="H12" s="3" t="s">
        <v>17</v>
      </c>
      <c r="I12" s="6" t="s">
        <v>50</v>
      </c>
      <c r="J12" s="3" t="s">
        <v>51</v>
      </c>
      <c r="K12" s="7">
        <v>5</v>
      </c>
      <c r="L12" s="7">
        <v>106</v>
      </c>
      <c r="M12" s="8">
        <v>100</v>
      </c>
      <c r="N12" s="22" t="s">
        <v>52</v>
      </c>
    </row>
    <row r="13" spans="1:14" x14ac:dyDescent="0.25">
      <c r="A13" s="2">
        <v>1</v>
      </c>
      <c r="B13" s="3" t="s">
        <v>53</v>
      </c>
      <c r="C13" s="3" t="str">
        <f t="shared" si="0"/>
        <v>000.039, -000.006</v>
      </c>
      <c r="D13" s="4" t="s">
        <v>15</v>
      </c>
      <c r="E13" s="4" t="s">
        <v>16</v>
      </c>
      <c r="F13" s="5">
        <v>39.34498</v>
      </c>
      <c r="G13" s="5">
        <v>-6.0731799999999998</v>
      </c>
      <c r="H13" s="3" t="s">
        <v>17</v>
      </c>
      <c r="I13" s="6" t="s">
        <v>54</v>
      </c>
      <c r="J13" s="3" t="s">
        <v>19</v>
      </c>
      <c r="K13" s="7">
        <v>4</v>
      </c>
      <c r="L13" s="7">
        <v>257</v>
      </c>
      <c r="M13" s="8">
        <v>410</v>
      </c>
      <c r="N13" s="22" t="s">
        <v>55</v>
      </c>
    </row>
    <row r="14" spans="1:14" x14ac:dyDescent="0.25">
      <c r="A14" s="2">
        <v>1</v>
      </c>
      <c r="B14" s="3" t="s">
        <v>56</v>
      </c>
      <c r="C14" s="3" t="str">
        <f t="shared" si="0"/>
        <v>000.040, -000.006</v>
      </c>
      <c r="D14" s="4" t="s">
        <v>15</v>
      </c>
      <c r="E14" s="4" t="s">
        <v>16</v>
      </c>
      <c r="F14" s="5">
        <v>40.137630000000001</v>
      </c>
      <c r="G14" s="5">
        <v>-6.0008600000000003</v>
      </c>
      <c r="H14" s="3" t="s">
        <v>17</v>
      </c>
      <c r="I14" s="6" t="s">
        <v>57</v>
      </c>
      <c r="J14" s="3" t="s">
        <v>19</v>
      </c>
      <c r="K14" s="7">
        <v>5</v>
      </c>
      <c r="L14" s="7">
        <v>537</v>
      </c>
      <c r="M14" s="8">
        <v>510</v>
      </c>
      <c r="N14" s="22" t="s">
        <v>58</v>
      </c>
    </row>
    <row r="15" spans="1:14" x14ac:dyDescent="0.25">
      <c r="A15" s="2">
        <v>1</v>
      </c>
      <c r="B15" s="3" t="s">
        <v>59</v>
      </c>
      <c r="C15" s="3" t="str">
        <f t="shared" si="0"/>
        <v>000.040, -000.006</v>
      </c>
      <c r="D15" s="4" t="s">
        <v>15</v>
      </c>
      <c r="E15" s="4" t="s">
        <v>16</v>
      </c>
      <c r="F15" s="5">
        <v>40.193640000000002</v>
      </c>
      <c r="G15" s="5">
        <v>-5.8064999999999998</v>
      </c>
      <c r="H15" s="3" t="s">
        <v>17</v>
      </c>
      <c r="I15" s="6" t="s">
        <v>60</v>
      </c>
      <c r="J15" s="3" t="s">
        <v>19</v>
      </c>
      <c r="K15" s="7">
        <v>30</v>
      </c>
      <c r="L15" s="7">
        <v>1951</v>
      </c>
      <c r="M15" s="8">
        <v>7430</v>
      </c>
      <c r="N15" s="22" t="s">
        <v>61</v>
      </c>
    </row>
    <row r="16" spans="1:14" x14ac:dyDescent="0.25">
      <c r="A16" s="2">
        <v>1</v>
      </c>
      <c r="B16" s="3" t="s">
        <v>62</v>
      </c>
      <c r="C16" s="3" t="str">
        <f t="shared" si="0"/>
        <v>000.040, -000.006</v>
      </c>
      <c r="D16" s="4" t="s">
        <v>15</v>
      </c>
      <c r="E16" s="4" t="s">
        <v>16</v>
      </c>
      <c r="F16" s="5">
        <v>40.113239999999998</v>
      </c>
      <c r="G16" s="5">
        <v>-5.8929299999999998</v>
      </c>
      <c r="H16" s="3" t="s">
        <v>17</v>
      </c>
      <c r="I16" s="6" t="s">
        <v>63</v>
      </c>
      <c r="J16" s="3" t="s">
        <v>19</v>
      </c>
      <c r="K16" s="7">
        <v>8</v>
      </c>
      <c r="L16" s="7">
        <v>446</v>
      </c>
      <c r="M16" s="8">
        <v>610</v>
      </c>
      <c r="N16" s="22" t="s">
        <v>64</v>
      </c>
    </row>
    <row r="17" spans="1:14" x14ac:dyDescent="0.25">
      <c r="A17" s="2">
        <v>1</v>
      </c>
      <c r="B17" s="3" t="s">
        <v>65</v>
      </c>
      <c r="C17" s="3" t="str">
        <f t="shared" si="0"/>
        <v>000.039, -000.006</v>
      </c>
      <c r="D17" s="4" t="s">
        <v>15</v>
      </c>
      <c r="E17" s="4" t="s">
        <v>16</v>
      </c>
      <c r="F17" s="5">
        <v>39.235779999999998</v>
      </c>
      <c r="G17" s="5">
        <v>-6.2914300000000001</v>
      </c>
      <c r="H17" s="3" t="s">
        <v>17</v>
      </c>
      <c r="I17" s="6" t="s">
        <v>66</v>
      </c>
      <c r="J17" s="3" t="s">
        <v>19</v>
      </c>
      <c r="K17" s="7">
        <v>8</v>
      </c>
      <c r="L17" s="7">
        <v>231</v>
      </c>
      <c r="M17" s="8">
        <v>460</v>
      </c>
      <c r="N17" s="22" t="s">
        <v>67</v>
      </c>
    </row>
    <row r="18" spans="1:14" x14ac:dyDescent="0.25">
      <c r="A18" s="2">
        <v>1</v>
      </c>
      <c r="B18" s="3" t="s">
        <v>68</v>
      </c>
      <c r="C18" s="3" t="str">
        <f t="shared" si="0"/>
        <v>000.040, -000.006</v>
      </c>
      <c r="D18" s="4" t="s">
        <v>15</v>
      </c>
      <c r="E18" s="4" t="s">
        <v>16</v>
      </c>
      <c r="F18" s="5">
        <v>40.107849999999999</v>
      </c>
      <c r="G18" s="5">
        <v>-5.9050900000000004</v>
      </c>
      <c r="H18" s="3" t="s">
        <v>17</v>
      </c>
      <c r="I18" s="6" t="s">
        <v>69</v>
      </c>
      <c r="J18" s="3" t="s">
        <v>19</v>
      </c>
      <c r="K18" s="7">
        <v>57</v>
      </c>
      <c r="L18" s="7">
        <v>1119</v>
      </c>
      <c r="M18" s="8">
        <v>2515</v>
      </c>
      <c r="N18" s="22" t="s">
        <v>70</v>
      </c>
    </row>
    <row r="19" spans="1:14" x14ac:dyDescent="0.25">
      <c r="A19" s="2">
        <v>1</v>
      </c>
      <c r="B19" s="3" t="s">
        <v>71</v>
      </c>
      <c r="C19" s="3" t="str">
        <f t="shared" si="0"/>
        <v>000.040, -000.006</v>
      </c>
      <c r="D19" s="4" t="s">
        <v>15</v>
      </c>
      <c r="E19" s="4" t="s">
        <v>16</v>
      </c>
      <c r="F19" s="5">
        <v>40.203200000000002</v>
      </c>
      <c r="G19" s="5">
        <v>-5.9615200000000002</v>
      </c>
      <c r="H19" s="3" t="s">
        <v>17</v>
      </c>
      <c r="I19" s="6" t="s">
        <v>72</v>
      </c>
      <c r="J19" s="3" t="s">
        <v>19</v>
      </c>
      <c r="K19" s="7">
        <v>10</v>
      </c>
      <c r="L19" s="7">
        <v>679</v>
      </c>
      <c r="M19" s="8">
        <v>935</v>
      </c>
      <c r="N19" s="22" t="s">
        <v>73</v>
      </c>
    </row>
    <row r="20" spans="1:14" x14ac:dyDescent="0.25">
      <c r="A20" s="2">
        <v>1</v>
      </c>
      <c r="B20" s="3" t="s">
        <v>74</v>
      </c>
      <c r="C20" s="3" t="str">
        <f t="shared" si="0"/>
        <v>000.040, -000.006</v>
      </c>
      <c r="D20" s="4" t="s">
        <v>15</v>
      </c>
      <c r="E20" s="4" t="s">
        <v>16</v>
      </c>
      <c r="F20" s="5">
        <v>40.136040000000001</v>
      </c>
      <c r="G20" s="5">
        <v>-5.9442599999999999</v>
      </c>
      <c r="H20" s="3" t="s">
        <v>17</v>
      </c>
      <c r="I20" s="6" t="s">
        <v>75</v>
      </c>
      <c r="J20" s="3" t="s">
        <v>19</v>
      </c>
      <c r="K20" s="7">
        <v>22</v>
      </c>
      <c r="L20" s="7">
        <v>949</v>
      </c>
      <c r="M20" s="8">
        <v>2615</v>
      </c>
      <c r="N20" s="22" t="s">
        <v>76</v>
      </c>
    </row>
    <row r="21" spans="1:14" x14ac:dyDescent="0.25">
      <c r="A21" s="2">
        <v>1</v>
      </c>
      <c r="B21" s="3" t="s">
        <v>77</v>
      </c>
      <c r="C21" s="3" t="str">
        <f t="shared" si="0"/>
        <v>000.040, -000.006</v>
      </c>
      <c r="D21" s="4" t="s">
        <v>15</v>
      </c>
      <c r="E21" s="4" t="s">
        <v>16</v>
      </c>
      <c r="F21" s="5">
        <v>40.248350000000002</v>
      </c>
      <c r="G21" s="5">
        <v>-5.9206799999999999</v>
      </c>
      <c r="H21" s="3" t="s">
        <v>17</v>
      </c>
      <c r="I21" s="6" t="s">
        <v>78</v>
      </c>
      <c r="J21" s="3" t="s">
        <v>19</v>
      </c>
      <c r="K21" s="7">
        <v>4</v>
      </c>
      <c r="L21" s="7">
        <v>439</v>
      </c>
      <c r="M21" s="8">
        <v>700</v>
      </c>
      <c r="N21" s="22" t="s">
        <v>79</v>
      </c>
    </row>
    <row r="22" spans="1:14" x14ac:dyDescent="0.25">
      <c r="A22" s="2">
        <v>1</v>
      </c>
      <c r="B22" s="3" t="s">
        <v>80</v>
      </c>
      <c r="C22" s="3" t="str">
        <f t="shared" si="0"/>
        <v>000.040, -000.006</v>
      </c>
      <c r="D22" s="4" t="s">
        <v>15</v>
      </c>
      <c r="E22" s="4" t="s">
        <v>16</v>
      </c>
      <c r="F22" s="5">
        <v>40.193510000000003</v>
      </c>
      <c r="G22" s="5">
        <v>-6.1633899999999997</v>
      </c>
      <c r="H22" s="3" t="s">
        <v>17</v>
      </c>
      <c r="I22" s="6" t="s">
        <v>81</v>
      </c>
      <c r="J22" s="3" t="s">
        <v>19</v>
      </c>
      <c r="K22" s="7">
        <v>9</v>
      </c>
      <c r="L22" s="7">
        <v>512</v>
      </c>
      <c r="M22" s="8">
        <v>570</v>
      </c>
      <c r="N22" s="22" t="s">
        <v>82</v>
      </c>
    </row>
    <row r="23" spans="1:14" x14ac:dyDescent="0.25">
      <c r="A23" s="2">
        <v>1</v>
      </c>
      <c r="B23" s="3" t="s">
        <v>83</v>
      </c>
      <c r="C23" s="3" t="str">
        <f t="shared" si="0"/>
        <v>000.040, -000.006</v>
      </c>
      <c r="D23" s="4" t="s">
        <v>15</v>
      </c>
      <c r="E23" s="4" t="s">
        <v>16</v>
      </c>
      <c r="F23" s="5">
        <v>40.270809999999997</v>
      </c>
      <c r="G23" s="5">
        <v>-5.86721</v>
      </c>
      <c r="H23" s="3" t="s">
        <v>17</v>
      </c>
      <c r="I23" s="6" t="s">
        <v>84</v>
      </c>
      <c r="J23" s="3" t="s">
        <v>29</v>
      </c>
      <c r="K23" s="7">
        <v>92</v>
      </c>
      <c r="L23" s="7">
        <v>3907</v>
      </c>
      <c r="M23" s="8">
        <v>17075</v>
      </c>
      <c r="N23" s="22" t="s">
        <v>85</v>
      </c>
    </row>
    <row r="24" spans="1:14" x14ac:dyDescent="0.25">
      <c r="A24" s="2">
        <v>1</v>
      </c>
      <c r="B24" s="3" t="s">
        <v>86</v>
      </c>
      <c r="C24" s="3" t="str">
        <f t="shared" si="0"/>
        <v>000.040, -000.006</v>
      </c>
      <c r="D24" s="4" t="s">
        <v>15</v>
      </c>
      <c r="E24" s="4" t="s">
        <v>16</v>
      </c>
      <c r="F24" s="5">
        <v>40.171559999999999</v>
      </c>
      <c r="G24" s="5">
        <v>-6.0028100000000002</v>
      </c>
      <c r="H24" s="3" t="s">
        <v>17</v>
      </c>
      <c r="I24" s="6" t="s">
        <v>87</v>
      </c>
      <c r="J24" s="3" t="s">
        <v>19</v>
      </c>
      <c r="K24" s="7">
        <v>5</v>
      </c>
      <c r="L24" s="7">
        <v>217</v>
      </c>
      <c r="M24" s="8">
        <v>300</v>
      </c>
      <c r="N24" s="22" t="s">
        <v>88</v>
      </c>
    </row>
    <row r="25" spans="1:14" x14ac:dyDescent="0.25">
      <c r="A25" s="2">
        <v>1</v>
      </c>
      <c r="B25" s="3" t="s">
        <v>89</v>
      </c>
      <c r="C25" s="3" t="str">
        <f t="shared" si="0"/>
        <v>000.040, -000.006</v>
      </c>
      <c r="D25" s="4" t="s">
        <v>15</v>
      </c>
      <c r="E25" s="4" t="s">
        <v>16</v>
      </c>
      <c r="F25" s="5">
        <v>40.222709999999999</v>
      </c>
      <c r="G25" s="5">
        <v>-5.7501100000000003</v>
      </c>
      <c r="H25" s="3" t="s">
        <v>17</v>
      </c>
      <c r="I25" s="6" t="s">
        <v>90</v>
      </c>
      <c r="J25" s="3" t="s">
        <v>19</v>
      </c>
      <c r="K25" s="7">
        <v>26</v>
      </c>
      <c r="L25" s="7">
        <v>1245</v>
      </c>
      <c r="M25" s="8">
        <v>3745</v>
      </c>
      <c r="N25" s="22" t="s">
        <v>91</v>
      </c>
    </row>
    <row r="26" spans="1:14" x14ac:dyDescent="0.25">
      <c r="A26" s="2">
        <v>1</v>
      </c>
      <c r="B26" s="3" t="s">
        <v>92</v>
      </c>
      <c r="C26" s="3" t="str">
        <f t="shared" si="0"/>
        <v>000.040, -000.006</v>
      </c>
      <c r="D26" s="4" t="s">
        <v>15</v>
      </c>
      <c r="E26" s="4" t="s">
        <v>16</v>
      </c>
      <c r="F26" s="5">
        <v>40.239350000000002</v>
      </c>
      <c r="G26" s="5">
        <v>-5.9948100000000002</v>
      </c>
      <c r="H26" s="3" t="s">
        <v>17</v>
      </c>
      <c r="I26" s="6" t="s">
        <v>93</v>
      </c>
      <c r="J26" s="3" t="s">
        <v>19</v>
      </c>
      <c r="K26" s="7">
        <v>15</v>
      </c>
      <c r="L26" s="7">
        <v>285</v>
      </c>
      <c r="M26" s="8">
        <v>765</v>
      </c>
      <c r="N26" s="22" t="s">
        <v>94</v>
      </c>
    </row>
    <row r="27" spans="1:14" x14ac:dyDescent="0.25">
      <c r="A27" s="2">
        <v>1</v>
      </c>
      <c r="B27" s="3" t="s">
        <v>95</v>
      </c>
      <c r="C27" s="3" t="str">
        <f t="shared" si="0"/>
        <v>000.039, -000.006</v>
      </c>
      <c r="D27" s="4" t="s">
        <v>15</v>
      </c>
      <c r="E27" s="4" t="s">
        <v>16</v>
      </c>
      <c r="F27" s="5">
        <v>39.225479999999997</v>
      </c>
      <c r="G27" s="5">
        <v>-6.1491400000000001</v>
      </c>
      <c r="H27" s="3" t="s">
        <v>17</v>
      </c>
      <c r="I27" s="6" t="s">
        <v>96</v>
      </c>
      <c r="J27" s="3" t="s">
        <v>19</v>
      </c>
      <c r="K27" s="7">
        <v>24</v>
      </c>
      <c r="L27" s="7">
        <v>1796</v>
      </c>
      <c r="M27" s="8">
        <v>6020</v>
      </c>
      <c r="N27" s="22" t="s">
        <v>97</v>
      </c>
    </row>
    <row r="28" spans="1:14" x14ac:dyDescent="0.25">
      <c r="A28" s="2">
        <v>1</v>
      </c>
      <c r="B28" s="3" t="s">
        <v>98</v>
      </c>
      <c r="C28" s="3" t="str">
        <f t="shared" si="0"/>
        <v>000.040, -000.006</v>
      </c>
      <c r="D28" s="4" t="s">
        <v>15</v>
      </c>
      <c r="E28" s="4" t="s">
        <v>16</v>
      </c>
      <c r="F28" s="5">
        <v>40.177120000000002</v>
      </c>
      <c r="G28" s="5">
        <v>-5.83108</v>
      </c>
      <c r="H28" s="3" t="s">
        <v>17</v>
      </c>
      <c r="I28" s="6" t="s">
        <v>99</v>
      </c>
      <c r="J28" s="3" t="s">
        <v>19</v>
      </c>
      <c r="K28" s="7">
        <v>40</v>
      </c>
      <c r="L28" s="7">
        <v>1893</v>
      </c>
      <c r="M28" s="8">
        <v>4725</v>
      </c>
      <c r="N28" s="22" t="s">
        <v>100</v>
      </c>
    </row>
    <row r="29" spans="1:14" x14ac:dyDescent="0.25">
      <c r="A29" s="2">
        <v>1</v>
      </c>
      <c r="B29" s="3" t="s">
        <v>101</v>
      </c>
      <c r="C29" s="3" t="str">
        <f t="shared" si="0"/>
        <v>000.040, -000.006</v>
      </c>
      <c r="D29" s="4" t="s">
        <v>15</v>
      </c>
      <c r="E29" s="4" t="s">
        <v>16</v>
      </c>
      <c r="F29" s="5">
        <v>40.112270000000002</v>
      </c>
      <c r="G29" s="5">
        <v>-6.0864799999999999</v>
      </c>
      <c r="H29" s="3" t="s">
        <v>17</v>
      </c>
      <c r="I29" s="6" t="s">
        <v>102</v>
      </c>
      <c r="J29" s="3" t="s">
        <v>19</v>
      </c>
      <c r="K29" s="7">
        <v>18</v>
      </c>
      <c r="L29" s="7">
        <v>492</v>
      </c>
      <c r="M29" s="8">
        <v>845</v>
      </c>
      <c r="N29" s="22" t="s">
        <v>103</v>
      </c>
    </row>
    <row r="30" spans="1:14" x14ac:dyDescent="0.25">
      <c r="A30" s="2">
        <v>1</v>
      </c>
      <c r="B30" s="3" t="s">
        <v>104</v>
      </c>
      <c r="C30" s="3" t="str">
        <f t="shared" si="0"/>
        <v>000.040, -000.006</v>
      </c>
      <c r="D30" s="4" t="s">
        <v>15</v>
      </c>
      <c r="E30" s="4" t="s">
        <v>16</v>
      </c>
      <c r="F30" s="5">
        <v>40.117310000000003</v>
      </c>
      <c r="G30" s="5">
        <v>-5.8478700000000003</v>
      </c>
      <c r="H30" s="3" t="s">
        <v>17</v>
      </c>
      <c r="I30" s="6" t="s">
        <v>105</v>
      </c>
      <c r="J30" s="3" t="s">
        <v>19</v>
      </c>
      <c r="K30" s="7">
        <v>12</v>
      </c>
      <c r="L30" s="7">
        <v>1447</v>
      </c>
      <c r="M30" s="8">
        <v>3105</v>
      </c>
      <c r="N30" s="22" t="s">
        <v>106</v>
      </c>
    </row>
    <row r="31" spans="1:14" x14ac:dyDescent="0.25">
      <c r="A31" s="2">
        <v>1</v>
      </c>
      <c r="B31" s="3" t="s">
        <v>107</v>
      </c>
      <c r="C31" s="3" t="str">
        <f t="shared" si="0"/>
        <v>000.040, -000.006</v>
      </c>
      <c r="D31" s="4" t="s">
        <v>15</v>
      </c>
      <c r="E31" s="4" t="s">
        <v>16</v>
      </c>
      <c r="F31" s="5">
        <v>40.03116</v>
      </c>
      <c r="G31" s="5">
        <v>-6.0884499999999999</v>
      </c>
      <c r="H31" s="3" t="s">
        <v>17</v>
      </c>
      <c r="I31" s="6" t="s">
        <v>108</v>
      </c>
      <c r="J31" s="3" t="s">
        <v>51</v>
      </c>
      <c r="K31" s="7">
        <v>12</v>
      </c>
      <c r="L31" s="7">
        <v>115</v>
      </c>
      <c r="M31" s="8">
        <v>830</v>
      </c>
      <c r="N31" s="22" t="s">
        <v>109</v>
      </c>
    </row>
    <row r="32" spans="1:14" x14ac:dyDescent="0.25">
      <c r="A32" s="2">
        <v>1</v>
      </c>
      <c r="B32" s="3" t="s">
        <v>110</v>
      </c>
      <c r="C32" s="3" t="str">
        <f t="shared" si="0"/>
        <v>000.039, -000.006</v>
      </c>
      <c r="D32" s="4" t="s">
        <v>15</v>
      </c>
      <c r="E32" s="4" t="s">
        <v>16</v>
      </c>
      <c r="F32" s="5">
        <v>39.38194</v>
      </c>
      <c r="G32" s="5">
        <v>-6.04786</v>
      </c>
      <c r="H32" s="3" t="s">
        <v>17</v>
      </c>
      <c r="I32" s="6" t="s">
        <v>111</v>
      </c>
      <c r="J32" s="3" t="s">
        <v>19</v>
      </c>
      <c r="K32" s="7">
        <v>11</v>
      </c>
      <c r="L32" s="7">
        <v>529</v>
      </c>
      <c r="M32" s="8">
        <v>875</v>
      </c>
      <c r="N32" s="22" t="s">
        <v>112</v>
      </c>
    </row>
    <row r="33" spans="1:14" x14ac:dyDescent="0.25">
      <c r="A33" s="2">
        <v>1</v>
      </c>
      <c r="B33" s="3" t="s">
        <v>113</v>
      </c>
      <c r="C33" s="3" t="str">
        <f t="shared" si="0"/>
        <v>000.040, -000.006</v>
      </c>
      <c r="D33" s="4" t="s">
        <v>15</v>
      </c>
      <c r="E33" s="4" t="s">
        <v>16</v>
      </c>
      <c r="F33" s="5">
        <v>40.153889999999997</v>
      </c>
      <c r="G33" s="5">
        <v>-5.8995600000000001</v>
      </c>
      <c r="H33" s="3" t="s">
        <v>17</v>
      </c>
      <c r="I33" s="6" t="s">
        <v>114</v>
      </c>
      <c r="J33" s="3" t="s">
        <v>19</v>
      </c>
      <c r="K33" s="7">
        <v>8</v>
      </c>
      <c r="L33" s="7">
        <v>231</v>
      </c>
      <c r="M33" s="8">
        <v>485</v>
      </c>
      <c r="N33" s="22" t="s">
        <v>115</v>
      </c>
    </row>
    <row r="34" spans="1:14" x14ac:dyDescent="0.25">
      <c r="A34" s="2">
        <v>1</v>
      </c>
      <c r="B34" s="3" t="s">
        <v>116</v>
      </c>
      <c r="C34" s="3" t="str">
        <f t="shared" ref="C34:C65" si="1">TEXT(F34,"0.00000")&amp;", "&amp;TEXT(G34,"0.00000")</f>
        <v>000.039, -000.006</v>
      </c>
      <c r="D34" s="4" t="s">
        <v>15</v>
      </c>
      <c r="E34" s="4" t="s">
        <v>16</v>
      </c>
      <c r="F34" s="5">
        <v>39.269559999999998</v>
      </c>
      <c r="G34" s="5">
        <v>-5.98001</v>
      </c>
      <c r="H34" s="3" t="s">
        <v>17</v>
      </c>
      <c r="I34" s="6" t="s">
        <v>117</v>
      </c>
      <c r="J34" s="3" t="s">
        <v>19</v>
      </c>
      <c r="K34" s="7">
        <v>6</v>
      </c>
      <c r="L34" s="7">
        <v>499</v>
      </c>
      <c r="M34" s="8">
        <v>695</v>
      </c>
      <c r="N34" s="22" t="s">
        <v>118</v>
      </c>
    </row>
    <row r="35" spans="1:14" x14ac:dyDescent="0.25">
      <c r="A35" s="2">
        <v>1</v>
      </c>
      <c r="B35" s="3" t="s">
        <v>119</v>
      </c>
      <c r="C35" s="3" t="str">
        <f t="shared" si="1"/>
        <v>000.039, -000.006</v>
      </c>
      <c r="D35" s="4" t="s">
        <v>15</v>
      </c>
      <c r="E35" s="4" t="s">
        <v>16</v>
      </c>
      <c r="F35" s="5">
        <v>39.328139999999998</v>
      </c>
      <c r="G35" s="5">
        <v>-6.0134699999999999</v>
      </c>
      <c r="H35" s="3" t="s">
        <v>17</v>
      </c>
      <c r="I35" s="6" t="s">
        <v>120</v>
      </c>
      <c r="J35" s="3" t="s">
        <v>51</v>
      </c>
      <c r="K35" s="7">
        <v>2</v>
      </c>
      <c r="L35" s="7">
        <v>173</v>
      </c>
      <c r="M35" s="8">
        <v>100</v>
      </c>
      <c r="N35" s="22" t="s">
        <v>121</v>
      </c>
    </row>
    <row r="36" spans="1:14" x14ac:dyDescent="0.25">
      <c r="A36" s="2">
        <v>1</v>
      </c>
      <c r="B36" s="3" t="s">
        <v>122</v>
      </c>
      <c r="C36" s="3" t="str">
        <f t="shared" si="1"/>
        <v>000.039, -000.006</v>
      </c>
      <c r="D36" s="4" t="s">
        <v>15</v>
      </c>
      <c r="E36" s="4" t="s">
        <v>16</v>
      </c>
      <c r="F36" s="5">
        <v>39.303629999999998</v>
      </c>
      <c r="G36" s="5">
        <v>-6.0320600000000004</v>
      </c>
      <c r="H36" s="3" t="s">
        <v>17</v>
      </c>
      <c r="I36" s="6" t="s">
        <v>123</v>
      </c>
      <c r="J36" s="3" t="s">
        <v>19</v>
      </c>
      <c r="K36" s="7">
        <v>10</v>
      </c>
      <c r="L36" s="7">
        <v>393</v>
      </c>
      <c r="M36" s="8">
        <v>210</v>
      </c>
      <c r="N36" s="22" t="s">
        <v>124</v>
      </c>
    </row>
    <row r="37" spans="1:14" x14ac:dyDescent="0.25">
      <c r="A37" s="2">
        <v>1</v>
      </c>
      <c r="B37" s="3" t="s">
        <v>125</v>
      </c>
      <c r="C37" s="3" t="str">
        <f t="shared" si="1"/>
        <v>000.039, -000.006</v>
      </c>
      <c r="D37" s="4" t="s">
        <v>15</v>
      </c>
      <c r="E37" s="4" t="s">
        <v>16</v>
      </c>
      <c r="F37" s="5">
        <v>39.308230000000002</v>
      </c>
      <c r="G37" s="5">
        <v>-5.9902699999999998</v>
      </c>
      <c r="H37" s="3" t="s">
        <v>17</v>
      </c>
      <c r="I37" s="6" t="s">
        <v>126</v>
      </c>
      <c r="J37" s="3" t="s">
        <v>19</v>
      </c>
      <c r="K37" s="7">
        <v>5</v>
      </c>
      <c r="L37" s="7">
        <v>304</v>
      </c>
      <c r="M37" s="8">
        <v>360</v>
      </c>
      <c r="N37" s="22" t="s">
        <v>127</v>
      </c>
    </row>
    <row r="38" spans="1:14" x14ac:dyDescent="0.25">
      <c r="A38" s="2">
        <v>1</v>
      </c>
      <c r="B38" s="3" t="s">
        <v>128</v>
      </c>
      <c r="C38" s="3" t="str">
        <f t="shared" si="1"/>
        <v>000.040, -000.006</v>
      </c>
      <c r="D38" s="4" t="s">
        <v>15</v>
      </c>
      <c r="E38" s="4" t="s">
        <v>16</v>
      </c>
      <c r="F38" s="5">
        <v>40.176369999999999</v>
      </c>
      <c r="G38" s="5">
        <v>-6.2244099999999998</v>
      </c>
      <c r="H38" s="3" t="s">
        <v>17</v>
      </c>
      <c r="I38" s="6" t="s">
        <v>129</v>
      </c>
      <c r="J38" s="3" t="s">
        <v>19</v>
      </c>
      <c r="K38" s="7">
        <v>3</v>
      </c>
      <c r="L38" s="7">
        <v>817</v>
      </c>
      <c r="M38" s="8">
        <v>650</v>
      </c>
      <c r="N38" s="22" t="s">
        <v>130</v>
      </c>
    </row>
    <row r="39" spans="1:14" x14ac:dyDescent="0.25">
      <c r="A39" s="2">
        <v>1</v>
      </c>
      <c r="B39" s="3" t="s">
        <v>131</v>
      </c>
      <c r="C39" s="3" t="str">
        <f t="shared" si="1"/>
        <v>000.040, -000.006</v>
      </c>
      <c r="D39" s="4" t="s">
        <v>15</v>
      </c>
      <c r="E39" s="4" t="s">
        <v>16</v>
      </c>
      <c r="F39" s="5">
        <v>40.224269999999997</v>
      </c>
      <c r="G39" s="5">
        <v>-5.9483600000000001</v>
      </c>
      <c r="H39" s="3" t="s">
        <v>17</v>
      </c>
      <c r="I39" s="6" t="s">
        <v>132</v>
      </c>
      <c r="J39" s="3" t="s">
        <v>19</v>
      </c>
      <c r="K39" s="7">
        <v>2</v>
      </c>
      <c r="L39" s="7">
        <v>211</v>
      </c>
      <c r="M39" s="8">
        <v>160</v>
      </c>
      <c r="N39" s="22" t="s">
        <v>133</v>
      </c>
    </row>
    <row r="40" spans="1:14" x14ac:dyDescent="0.25">
      <c r="A40" s="2">
        <v>1</v>
      </c>
      <c r="B40" s="3" t="s">
        <v>134</v>
      </c>
      <c r="C40" s="3" t="str">
        <f t="shared" si="1"/>
        <v>000.040, -000.006</v>
      </c>
      <c r="D40" s="4" t="s">
        <v>15</v>
      </c>
      <c r="E40" s="4" t="s">
        <v>16</v>
      </c>
      <c r="F40" s="5">
        <v>40.254980000000003</v>
      </c>
      <c r="G40" s="5">
        <v>-5.6887600000000003</v>
      </c>
      <c r="H40" s="3" t="s">
        <v>17</v>
      </c>
      <c r="I40" s="6" t="s">
        <v>135</v>
      </c>
      <c r="J40" s="3" t="s">
        <v>19</v>
      </c>
      <c r="K40" s="7">
        <v>11</v>
      </c>
      <c r="L40" s="7">
        <v>1132</v>
      </c>
      <c r="M40" s="8">
        <v>2420</v>
      </c>
      <c r="N40" s="22" t="s">
        <v>136</v>
      </c>
    </row>
    <row r="41" spans="1:14" x14ac:dyDescent="0.25">
      <c r="A41" s="2">
        <v>1</v>
      </c>
      <c r="B41" s="3" t="s">
        <v>137</v>
      </c>
      <c r="C41" s="3" t="str">
        <f t="shared" si="1"/>
        <v>000.039, -000.006</v>
      </c>
      <c r="D41" s="4" t="s">
        <v>15</v>
      </c>
      <c r="E41" s="4" t="s">
        <v>16</v>
      </c>
      <c r="F41" s="5">
        <v>39.25441</v>
      </c>
      <c r="G41" s="5">
        <v>-6.1161000000000003</v>
      </c>
      <c r="H41" s="3" t="s">
        <v>17</v>
      </c>
      <c r="I41" s="6" t="s">
        <v>138</v>
      </c>
      <c r="J41" s="3" t="s">
        <v>19</v>
      </c>
      <c r="K41" s="7">
        <v>5</v>
      </c>
      <c r="L41" s="7">
        <v>512</v>
      </c>
      <c r="M41" s="8">
        <v>750</v>
      </c>
      <c r="N41" s="22" t="s">
        <v>139</v>
      </c>
    </row>
    <row r="42" spans="1:14" x14ac:dyDescent="0.25">
      <c r="A42" s="2">
        <v>1</v>
      </c>
      <c r="B42" s="3" t="s">
        <v>140</v>
      </c>
      <c r="C42" s="3" t="str">
        <f t="shared" si="1"/>
        <v>000.040, -000.006</v>
      </c>
      <c r="D42" s="4" t="s">
        <v>15</v>
      </c>
      <c r="E42" s="4" t="s">
        <v>16</v>
      </c>
      <c r="F42" s="5">
        <v>40.132930000000002</v>
      </c>
      <c r="G42" s="5">
        <v>-5.8793199999999999</v>
      </c>
      <c r="H42" s="3" t="s">
        <v>17</v>
      </c>
      <c r="I42" s="6" t="s">
        <v>141</v>
      </c>
      <c r="J42" s="3" t="s">
        <v>19</v>
      </c>
      <c r="K42" s="7">
        <v>16</v>
      </c>
      <c r="L42" s="7">
        <v>327</v>
      </c>
      <c r="M42" s="8">
        <v>1690</v>
      </c>
      <c r="N42" s="22" t="s">
        <v>142</v>
      </c>
    </row>
    <row r="43" spans="1:14" x14ac:dyDescent="0.25">
      <c r="A43" s="2">
        <v>1</v>
      </c>
      <c r="B43" s="3" t="s">
        <v>143</v>
      </c>
      <c r="C43" s="3" t="str">
        <f t="shared" si="1"/>
        <v>000.039, -000.006</v>
      </c>
      <c r="D43" s="4" t="s">
        <v>15</v>
      </c>
      <c r="E43" s="4" t="s">
        <v>16</v>
      </c>
      <c r="F43" s="5">
        <v>39.274329999999999</v>
      </c>
      <c r="G43" s="5">
        <v>-6.1218300000000001</v>
      </c>
      <c r="H43" s="3" t="s">
        <v>17</v>
      </c>
      <c r="I43" s="6" t="s">
        <v>144</v>
      </c>
      <c r="J43" s="3" t="s">
        <v>19</v>
      </c>
      <c r="K43" s="7">
        <v>13</v>
      </c>
      <c r="L43" s="7">
        <v>1061</v>
      </c>
      <c r="M43" s="8">
        <v>1880</v>
      </c>
      <c r="N43" s="22" t="s">
        <v>145</v>
      </c>
    </row>
    <row r="44" spans="1:14" x14ac:dyDescent="0.25">
      <c r="A44" s="2">
        <v>1</v>
      </c>
      <c r="B44" s="3" t="s">
        <v>146</v>
      </c>
      <c r="C44" s="3" t="str">
        <f t="shared" si="1"/>
        <v>000.039, -000.006</v>
      </c>
      <c r="D44" s="4" t="s">
        <v>15</v>
      </c>
      <c r="E44" s="4" t="s">
        <v>16</v>
      </c>
      <c r="F44" s="5">
        <v>39.205880000000001</v>
      </c>
      <c r="G44" s="5">
        <v>-6.0662200000000004</v>
      </c>
      <c r="H44" s="3" t="s">
        <v>17</v>
      </c>
      <c r="I44" s="6" t="s">
        <v>147</v>
      </c>
      <c r="J44" s="3" t="s">
        <v>51</v>
      </c>
      <c r="K44" s="7">
        <v>5</v>
      </c>
      <c r="L44" s="7">
        <v>187</v>
      </c>
      <c r="M44" s="8">
        <v>170</v>
      </c>
      <c r="N44" s="22" t="s">
        <v>148</v>
      </c>
    </row>
    <row r="45" spans="1:14" x14ac:dyDescent="0.25">
      <c r="A45" s="2">
        <v>1</v>
      </c>
      <c r="B45" s="3" t="s">
        <v>149</v>
      </c>
      <c r="C45" s="3" t="str">
        <f t="shared" si="1"/>
        <v>000.040, -000.006</v>
      </c>
      <c r="D45" s="4" t="s">
        <v>15</v>
      </c>
      <c r="E45" s="4" t="s">
        <v>16</v>
      </c>
      <c r="F45" s="5">
        <v>40.137729999999998</v>
      </c>
      <c r="G45" s="5">
        <v>-6.0278999999999998</v>
      </c>
      <c r="H45" s="3" t="s">
        <v>17</v>
      </c>
      <c r="I45" s="6" t="s">
        <v>150</v>
      </c>
      <c r="J45" s="3" t="s">
        <v>19</v>
      </c>
      <c r="K45" s="7">
        <v>10</v>
      </c>
      <c r="L45" s="7">
        <v>342</v>
      </c>
      <c r="M45" s="8">
        <v>775</v>
      </c>
      <c r="N45" s="22" t="s">
        <v>151</v>
      </c>
    </row>
    <row r="46" spans="1:14" x14ac:dyDescent="0.25">
      <c r="A46" s="2">
        <v>1</v>
      </c>
      <c r="B46" s="3" t="s">
        <v>152</v>
      </c>
      <c r="C46" s="3" t="str">
        <f t="shared" si="1"/>
        <v>000.040, -000.006</v>
      </c>
      <c r="D46" s="4" t="s">
        <v>15</v>
      </c>
      <c r="E46" s="4" t="s">
        <v>16</v>
      </c>
      <c r="F46" s="5">
        <v>40.237229999999997</v>
      </c>
      <c r="G46" s="5">
        <v>-6.0484999999999998</v>
      </c>
      <c r="H46" s="3" t="s">
        <v>17</v>
      </c>
      <c r="I46" s="6" t="s">
        <v>153</v>
      </c>
      <c r="J46" s="3" t="s">
        <v>19</v>
      </c>
      <c r="K46" s="7">
        <v>39</v>
      </c>
      <c r="L46" s="7">
        <v>1658</v>
      </c>
      <c r="M46" s="8">
        <v>3560</v>
      </c>
      <c r="N46" s="22" t="s">
        <v>154</v>
      </c>
    </row>
    <row r="47" spans="1:14" x14ac:dyDescent="0.25">
      <c r="A47" s="2">
        <v>1</v>
      </c>
      <c r="B47" s="3" t="s">
        <v>155</v>
      </c>
      <c r="C47" s="3" t="str">
        <f t="shared" si="1"/>
        <v>000.039, -000.006</v>
      </c>
      <c r="D47" s="4" t="s">
        <v>15</v>
      </c>
      <c r="E47" s="4" t="s">
        <v>16</v>
      </c>
      <c r="F47" s="5">
        <v>39.257559999999998</v>
      </c>
      <c r="G47" s="5">
        <v>-6.0324799999999996</v>
      </c>
      <c r="H47" s="3" t="s">
        <v>17</v>
      </c>
      <c r="I47" s="6" t="s">
        <v>156</v>
      </c>
      <c r="J47" s="3" t="s">
        <v>19</v>
      </c>
      <c r="K47" s="7">
        <v>9</v>
      </c>
      <c r="L47" s="7">
        <v>588</v>
      </c>
      <c r="M47" s="8">
        <v>910</v>
      </c>
      <c r="N47" s="22" t="s">
        <v>157</v>
      </c>
    </row>
    <row r="48" spans="1:14" x14ac:dyDescent="0.25">
      <c r="A48" s="9">
        <v>2</v>
      </c>
      <c r="B48" s="10" t="s">
        <v>158</v>
      </c>
      <c r="C48" s="10" t="str">
        <f t="shared" si="1"/>
        <v>000.040, -000.007</v>
      </c>
      <c r="D48" s="11" t="s">
        <v>15</v>
      </c>
      <c r="E48" s="11" t="s">
        <v>16</v>
      </c>
      <c r="F48" s="12">
        <v>39.802599999999998</v>
      </c>
      <c r="G48" s="12">
        <v>-6.6337200000000003</v>
      </c>
      <c r="H48" s="10" t="s">
        <v>17</v>
      </c>
      <c r="I48" s="13" t="s">
        <v>159</v>
      </c>
      <c r="J48" s="10" t="s">
        <v>19</v>
      </c>
      <c r="K48" s="14">
        <v>28</v>
      </c>
      <c r="L48" s="14">
        <v>709</v>
      </c>
      <c r="M48" s="15">
        <v>1800</v>
      </c>
      <c r="N48" s="23" t="s">
        <v>160</v>
      </c>
    </row>
    <row r="49" spans="1:14" x14ac:dyDescent="0.25">
      <c r="A49" s="9">
        <v>2</v>
      </c>
      <c r="B49" s="10" t="s">
        <v>161</v>
      </c>
      <c r="C49" s="10" t="str">
        <f t="shared" si="1"/>
        <v>000.040, -000.007</v>
      </c>
      <c r="D49" s="11" t="s">
        <v>15</v>
      </c>
      <c r="E49" s="11" t="s">
        <v>16</v>
      </c>
      <c r="F49" s="12">
        <v>39.71895</v>
      </c>
      <c r="G49" s="12">
        <v>-6.88375</v>
      </c>
      <c r="H49" s="10" t="s">
        <v>17</v>
      </c>
      <c r="I49" s="13" t="s">
        <v>162</v>
      </c>
      <c r="J49" s="10" t="s">
        <v>19</v>
      </c>
      <c r="K49" s="14">
        <v>32</v>
      </c>
      <c r="L49" s="14">
        <v>1408</v>
      </c>
      <c r="M49" s="15">
        <v>4860</v>
      </c>
      <c r="N49" s="23" t="s">
        <v>163</v>
      </c>
    </row>
    <row r="50" spans="1:14" x14ac:dyDescent="0.25">
      <c r="A50" s="9">
        <v>2</v>
      </c>
      <c r="B50" s="10" t="s">
        <v>164</v>
      </c>
      <c r="C50" s="10" t="str">
        <f t="shared" si="1"/>
        <v>000.040, -000.007</v>
      </c>
      <c r="D50" s="11" t="s">
        <v>15</v>
      </c>
      <c r="E50" s="11" t="s">
        <v>16</v>
      </c>
      <c r="F50" s="12">
        <v>39.612780000000001</v>
      </c>
      <c r="G50" s="12">
        <v>-6.7777000000000003</v>
      </c>
      <c r="H50" s="10" t="s">
        <v>17</v>
      </c>
      <c r="I50" s="13" t="s">
        <v>165</v>
      </c>
      <c r="J50" s="10" t="s">
        <v>19</v>
      </c>
      <c r="K50" s="14">
        <v>32</v>
      </c>
      <c r="L50" s="14">
        <v>1862</v>
      </c>
      <c r="M50" s="15">
        <v>4140</v>
      </c>
      <c r="N50" s="23" t="s">
        <v>166</v>
      </c>
    </row>
    <row r="51" spans="1:14" x14ac:dyDescent="0.25">
      <c r="A51" s="9">
        <v>2</v>
      </c>
      <c r="B51" s="10" t="s">
        <v>167</v>
      </c>
      <c r="C51" s="10" t="str">
        <f t="shared" si="1"/>
        <v>000.040, -000.007</v>
      </c>
      <c r="D51" s="11" t="s">
        <v>15</v>
      </c>
      <c r="E51" s="11" t="s">
        <v>16</v>
      </c>
      <c r="F51" s="12">
        <v>39.915570000000002</v>
      </c>
      <c r="G51" s="12">
        <v>-6.6690899999999997</v>
      </c>
      <c r="H51" s="10" t="s">
        <v>17</v>
      </c>
      <c r="I51" s="13" t="s">
        <v>168</v>
      </c>
      <c r="J51" s="10" t="s">
        <v>51</v>
      </c>
      <c r="K51" s="14">
        <v>4</v>
      </c>
      <c r="L51" s="14">
        <v>125</v>
      </c>
      <c r="M51" s="15">
        <v>100</v>
      </c>
      <c r="N51" s="23" t="s">
        <v>169</v>
      </c>
    </row>
    <row r="52" spans="1:14" x14ac:dyDescent="0.25">
      <c r="A52" s="9">
        <v>2</v>
      </c>
      <c r="B52" s="10" t="s">
        <v>170</v>
      </c>
      <c r="C52" s="10" t="str">
        <f t="shared" si="1"/>
        <v>000.040, -000.006</v>
      </c>
      <c r="D52" s="11" t="s">
        <v>15</v>
      </c>
      <c r="E52" s="11" t="s">
        <v>16</v>
      </c>
      <c r="F52" s="12">
        <v>39.561059999999998</v>
      </c>
      <c r="G52" s="12">
        <v>-6.4194399999999998</v>
      </c>
      <c r="H52" s="10" t="s">
        <v>17</v>
      </c>
      <c r="I52" s="13" t="s">
        <v>171</v>
      </c>
      <c r="J52" s="10" t="s">
        <v>29</v>
      </c>
      <c r="K52" s="14">
        <v>70</v>
      </c>
      <c r="L52" s="14">
        <v>3060</v>
      </c>
      <c r="M52" s="15">
        <v>10130</v>
      </c>
      <c r="N52" s="23" t="s">
        <v>172</v>
      </c>
    </row>
    <row r="53" spans="1:14" x14ac:dyDescent="0.25">
      <c r="A53" s="9">
        <v>2</v>
      </c>
      <c r="B53" s="10" t="s">
        <v>173</v>
      </c>
      <c r="C53" s="10" t="str">
        <f t="shared" si="1"/>
        <v>000.040, -000.006</v>
      </c>
      <c r="D53" s="11" t="s">
        <v>15</v>
      </c>
      <c r="E53" s="11" t="s">
        <v>16</v>
      </c>
      <c r="F53" s="12">
        <v>39.817570000000003</v>
      </c>
      <c r="G53" s="12">
        <v>-6.3296599999999996</v>
      </c>
      <c r="H53" s="10" t="s">
        <v>17</v>
      </c>
      <c r="I53" s="13" t="s">
        <v>174</v>
      </c>
      <c r="J53" s="10" t="s">
        <v>19</v>
      </c>
      <c r="K53" s="14">
        <v>18</v>
      </c>
      <c r="L53" s="14">
        <v>665</v>
      </c>
      <c r="M53" s="15">
        <v>900</v>
      </c>
      <c r="N53" s="23" t="s">
        <v>175</v>
      </c>
    </row>
    <row r="54" spans="1:14" x14ac:dyDescent="0.25">
      <c r="A54" s="9">
        <v>2</v>
      </c>
      <c r="B54" s="10" t="s">
        <v>176</v>
      </c>
      <c r="C54" s="10" t="str">
        <f t="shared" si="1"/>
        <v>000.040, -000.006</v>
      </c>
      <c r="D54" s="11" t="s">
        <v>15</v>
      </c>
      <c r="E54" s="11" t="s">
        <v>16</v>
      </c>
      <c r="F54" s="12">
        <v>39.791980000000002</v>
      </c>
      <c r="G54" s="12">
        <v>-6.3913000000000002</v>
      </c>
      <c r="H54" s="10" t="s">
        <v>17</v>
      </c>
      <c r="I54" s="13" t="s">
        <v>177</v>
      </c>
      <c r="J54" s="10" t="s">
        <v>19</v>
      </c>
      <c r="K54" s="14">
        <v>25</v>
      </c>
      <c r="L54" s="14">
        <v>1149</v>
      </c>
      <c r="M54" s="15">
        <v>2290</v>
      </c>
      <c r="N54" s="23" t="s">
        <v>178</v>
      </c>
    </row>
    <row r="55" spans="1:14" x14ac:dyDescent="0.25">
      <c r="A55" s="9">
        <v>2</v>
      </c>
      <c r="B55" s="10" t="s">
        <v>179</v>
      </c>
      <c r="C55" s="10" t="str">
        <f t="shared" si="1"/>
        <v>000.040, -000.007</v>
      </c>
      <c r="D55" s="11" t="s">
        <v>15</v>
      </c>
      <c r="E55" s="11" t="s">
        <v>16</v>
      </c>
      <c r="F55" s="12">
        <v>39.822310000000002</v>
      </c>
      <c r="G55" s="12">
        <v>-6.7732900000000003</v>
      </c>
      <c r="H55" s="10" t="s">
        <v>17</v>
      </c>
      <c r="I55" s="13" t="s">
        <v>180</v>
      </c>
      <c r="J55" s="10" t="s">
        <v>19</v>
      </c>
      <c r="K55" s="14">
        <v>27</v>
      </c>
      <c r="L55" s="14">
        <v>1637</v>
      </c>
      <c r="M55" s="15">
        <v>2815</v>
      </c>
      <c r="N55" s="23" t="s">
        <v>181</v>
      </c>
    </row>
    <row r="56" spans="1:14" x14ac:dyDescent="0.25">
      <c r="A56" s="9">
        <v>2</v>
      </c>
      <c r="B56" s="10" t="s">
        <v>182</v>
      </c>
      <c r="C56" s="10" t="str">
        <f t="shared" si="1"/>
        <v>000.040, -000.007</v>
      </c>
      <c r="D56" s="11" t="s">
        <v>15</v>
      </c>
      <c r="E56" s="11" t="s">
        <v>16</v>
      </c>
      <c r="F56" s="12">
        <v>39.984059999999999</v>
      </c>
      <c r="G56" s="12">
        <v>-6.5360300000000002</v>
      </c>
      <c r="H56" s="10" t="s">
        <v>17</v>
      </c>
      <c r="I56" s="13" t="s">
        <v>183</v>
      </c>
      <c r="J56" s="10" t="s">
        <v>19</v>
      </c>
      <c r="K56" s="14">
        <v>18</v>
      </c>
      <c r="L56" s="14">
        <v>330</v>
      </c>
      <c r="M56" s="15">
        <v>1385</v>
      </c>
      <c r="N56" s="23" t="s">
        <v>184</v>
      </c>
    </row>
    <row r="57" spans="1:14" x14ac:dyDescent="0.25">
      <c r="A57" s="9">
        <v>2</v>
      </c>
      <c r="B57" s="10" t="s">
        <v>17</v>
      </c>
      <c r="C57" s="10" t="str">
        <f t="shared" si="1"/>
        <v>000.039, -000.006</v>
      </c>
      <c r="D57" s="11" t="s">
        <v>15</v>
      </c>
      <c r="E57" s="11" t="s">
        <v>16</v>
      </c>
      <c r="F57" s="12">
        <v>39.476489999999998</v>
      </c>
      <c r="G57" s="12">
        <v>-6.3722399999999997</v>
      </c>
      <c r="H57" s="10" t="s">
        <v>17</v>
      </c>
      <c r="I57" s="13" t="s">
        <v>185</v>
      </c>
      <c r="J57" s="10" t="s">
        <v>186</v>
      </c>
      <c r="K57" s="14">
        <v>55</v>
      </c>
      <c r="L57" s="14">
        <v>4310</v>
      </c>
      <c r="M57" s="15">
        <v>27000</v>
      </c>
      <c r="N57" s="23" t="s">
        <v>187</v>
      </c>
    </row>
    <row r="58" spans="1:14" x14ac:dyDescent="0.25">
      <c r="A58" s="9">
        <v>2</v>
      </c>
      <c r="B58" s="10" t="s">
        <v>188</v>
      </c>
      <c r="C58" s="10" t="str">
        <f t="shared" si="1"/>
        <v>000.040, -000.007</v>
      </c>
      <c r="D58" s="11" t="s">
        <v>15</v>
      </c>
      <c r="E58" s="11" t="s">
        <v>16</v>
      </c>
      <c r="F58" s="12">
        <v>39.710819999999998</v>
      </c>
      <c r="G58" s="12">
        <v>-6.5503400000000003</v>
      </c>
      <c r="H58" s="10" t="s">
        <v>17</v>
      </c>
      <c r="I58" s="13" t="s">
        <v>189</v>
      </c>
      <c r="J58" s="10" t="s">
        <v>29</v>
      </c>
      <c r="K58" s="14">
        <v>45</v>
      </c>
      <c r="L58" s="14">
        <v>2201</v>
      </c>
      <c r="M58" s="15">
        <v>4535</v>
      </c>
      <c r="N58" s="23" t="s">
        <v>190</v>
      </c>
    </row>
    <row r="59" spans="1:14" x14ac:dyDescent="0.25">
      <c r="A59" s="9">
        <v>2</v>
      </c>
      <c r="B59" s="10" t="s">
        <v>191</v>
      </c>
      <c r="C59" s="10" t="str">
        <f t="shared" si="1"/>
        <v>000.040, -000.007</v>
      </c>
      <c r="D59" s="11" t="s">
        <v>15</v>
      </c>
      <c r="E59" s="11" t="s">
        <v>16</v>
      </c>
      <c r="F59" s="12">
        <v>39.717379999999999</v>
      </c>
      <c r="G59" s="12">
        <v>-6.8182499999999999</v>
      </c>
      <c r="H59" s="10" t="s">
        <v>17</v>
      </c>
      <c r="I59" s="13" t="s">
        <v>192</v>
      </c>
      <c r="J59" s="10" t="s">
        <v>19</v>
      </c>
      <c r="K59" s="14">
        <v>6</v>
      </c>
      <c r="L59" s="14">
        <v>389</v>
      </c>
      <c r="M59" s="15">
        <v>460</v>
      </c>
      <c r="N59" s="23" t="s">
        <v>193</v>
      </c>
    </row>
    <row r="60" spans="1:14" x14ac:dyDescent="0.25">
      <c r="A60" s="9">
        <v>2</v>
      </c>
      <c r="B60" s="10" t="s">
        <v>194</v>
      </c>
      <c r="C60" s="10" t="str">
        <f t="shared" si="1"/>
        <v>000.040, -000.007</v>
      </c>
      <c r="D60" s="11" t="s">
        <v>15</v>
      </c>
      <c r="E60" s="11" t="s">
        <v>16</v>
      </c>
      <c r="F60" s="12">
        <v>39.622900000000001</v>
      </c>
      <c r="G60" s="12">
        <v>-6.6525999999999996</v>
      </c>
      <c r="H60" s="10" t="s">
        <v>17</v>
      </c>
      <c r="I60" s="13" t="s">
        <v>195</v>
      </c>
      <c r="J60" s="10" t="s">
        <v>19</v>
      </c>
      <c r="K60" s="14">
        <v>17</v>
      </c>
      <c r="L60" s="14">
        <v>1264</v>
      </c>
      <c r="M60" s="15">
        <v>2310</v>
      </c>
      <c r="N60" s="23" t="s">
        <v>196</v>
      </c>
    </row>
    <row r="61" spans="1:14" x14ac:dyDescent="0.25">
      <c r="A61" s="9">
        <v>2</v>
      </c>
      <c r="B61" s="10" t="s">
        <v>197</v>
      </c>
      <c r="C61" s="10" t="str">
        <f t="shared" si="1"/>
        <v>000.040, -000.006</v>
      </c>
      <c r="D61" s="11" t="s">
        <v>15</v>
      </c>
      <c r="E61" s="11" t="s">
        <v>16</v>
      </c>
      <c r="F61" s="12">
        <v>39.825220000000002</v>
      </c>
      <c r="G61" s="12">
        <v>-6.4125100000000002</v>
      </c>
      <c r="H61" s="10" t="s">
        <v>17</v>
      </c>
      <c r="I61" s="13" t="s">
        <v>198</v>
      </c>
      <c r="J61" s="10" t="s">
        <v>51</v>
      </c>
      <c r="K61" s="14">
        <v>12</v>
      </c>
      <c r="L61" s="14">
        <v>164</v>
      </c>
      <c r="M61" s="15">
        <v>160</v>
      </c>
      <c r="N61" s="23" t="s">
        <v>199</v>
      </c>
    </row>
    <row r="62" spans="1:14" x14ac:dyDescent="0.25">
      <c r="A62" s="9">
        <v>2</v>
      </c>
      <c r="B62" s="10" t="s">
        <v>200</v>
      </c>
      <c r="C62" s="10" t="str">
        <f t="shared" si="1"/>
        <v>000.040, -000.007</v>
      </c>
      <c r="D62" s="11" t="s">
        <v>15</v>
      </c>
      <c r="E62" s="11" t="s">
        <v>16</v>
      </c>
      <c r="F62" s="12">
        <v>39.91807</v>
      </c>
      <c r="G62" s="12">
        <v>-6.6458899999999996</v>
      </c>
      <c r="H62" s="10" t="s">
        <v>17</v>
      </c>
      <c r="I62" s="13" t="s">
        <v>201</v>
      </c>
      <c r="J62" s="10" t="s">
        <v>19</v>
      </c>
      <c r="K62" s="14">
        <v>7</v>
      </c>
      <c r="L62" s="14">
        <v>247</v>
      </c>
      <c r="M62" s="15">
        <v>150</v>
      </c>
      <c r="N62" s="23" t="s">
        <v>202</v>
      </c>
    </row>
    <row r="63" spans="1:14" x14ac:dyDescent="0.25">
      <c r="A63" s="9">
        <v>2</v>
      </c>
      <c r="B63" s="10" t="s">
        <v>203</v>
      </c>
      <c r="C63" s="10" t="str">
        <f t="shared" si="1"/>
        <v>000.040, -000.007</v>
      </c>
      <c r="D63" s="11" t="s">
        <v>15</v>
      </c>
      <c r="E63" s="11" t="s">
        <v>16</v>
      </c>
      <c r="F63" s="12">
        <v>39.784170000000003</v>
      </c>
      <c r="G63" s="12">
        <v>-6.9258800000000003</v>
      </c>
      <c r="H63" s="10" t="s">
        <v>17</v>
      </c>
      <c r="I63" s="13" t="s">
        <v>204</v>
      </c>
      <c r="J63" s="10" t="s">
        <v>19</v>
      </c>
      <c r="K63" s="14">
        <v>3</v>
      </c>
      <c r="L63" s="14">
        <v>322</v>
      </c>
      <c r="M63" s="15">
        <v>460</v>
      </c>
      <c r="N63" s="23" t="s">
        <v>205</v>
      </c>
    </row>
    <row r="64" spans="1:14" x14ac:dyDescent="0.25">
      <c r="A64" s="9">
        <v>2</v>
      </c>
      <c r="B64" s="10" t="s">
        <v>206</v>
      </c>
      <c r="C64" s="10" t="str">
        <f t="shared" si="1"/>
        <v>000.040, -000.007</v>
      </c>
      <c r="D64" s="11" t="s">
        <v>15</v>
      </c>
      <c r="E64" s="11" t="s">
        <v>16</v>
      </c>
      <c r="F64" s="12">
        <v>39.917569999999998</v>
      </c>
      <c r="G64" s="12">
        <v>-6.5621799999999997</v>
      </c>
      <c r="H64" s="10" t="s">
        <v>17</v>
      </c>
      <c r="I64" s="13" t="s">
        <v>207</v>
      </c>
      <c r="J64" s="10" t="s">
        <v>19</v>
      </c>
      <c r="K64" s="14">
        <v>12</v>
      </c>
      <c r="L64" s="14">
        <v>502</v>
      </c>
      <c r="M64" s="15">
        <v>420</v>
      </c>
      <c r="N64" s="23" t="s">
        <v>208</v>
      </c>
    </row>
    <row r="65" spans="1:14" x14ac:dyDescent="0.25">
      <c r="A65" s="9">
        <v>2</v>
      </c>
      <c r="B65" s="10" t="s">
        <v>209</v>
      </c>
      <c r="C65" s="10" t="str">
        <f t="shared" si="1"/>
        <v>000.040, -000.006</v>
      </c>
      <c r="D65" s="11" t="s">
        <v>15</v>
      </c>
      <c r="E65" s="11" t="s">
        <v>16</v>
      </c>
      <c r="F65" s="12">
        <v>39.812330000000003</v>
      </c>
      <c r="G65" s="12">
        <v>-6.4743300000000001</v>
      </c>
      <c r="H65" s="10" t="s">
        <v>17</v>
      </c>
      <c r="I65" s="13" t="s">
        <v>210</v>
      </c>
      <c r="J65" s="10" t="s">
        <v>19</v>
      </c>
      <c r="K65" s="14">
        <v>9</v>
      </c>
      <c r="L65" s="14">
        <v>295</v>
      </c>
      <c r="M65" s="15">
        <v>250</v>
      </c>
      <c r="N65" s="23" t="s">
        <v>211</v>
      </c>
    </row>
    <row r="66" spans="1:14" x14ac:dyDescent="0.25">
      <c r="A66" s="9">
        <v>2</v>
      </c>
      <c r="B66" s="10" t="s">
        <v>212</v>
      </c>
      <c r="C66" s="10" t="str">
        <f t="shared" ref="C66:C74" si="2">TEXT(F66,"0.00000")&amp;", "&amp;TEXT(G66,"0.00000")</f>
        <v>000.040, -000.006</v>
      </c>
      <c r="D66" s="11" t="s">
        <v>15</v>
      </c>
      <c r="E66" s="11" t="s">
        <v>16</v>
      </c>
      <c r="F66" s="12">
        <v>39.511499999999998</v>
      </c>
      <c r="G66" s="12">
        <v>-6.0988100000000003</v>
      </c>
      <c r="H66" s="10" t="s">
        <v>17</v>
      </c>
      <c r="I66" s="13" t="s">
        <v>213</v>
      </c>
      <c r="J66" s="10" t="s">
        <v>19</v>
      </c>
      <c r="K66" s="14">
        <v>22</v>
      </c>
      <c r="L66" s="14">
        <v>321</v>
      </c>
      <c r="M66" s="15">
        <v>915</v>
      </c>
      <c r="N66" s="23" t="s">
        <v>214</v>
      </c>
    </row>
    <row r="67" spans="1:14" x14ac:dyDescent="0.25">
      <c r="A67" s="9">
        <v>2</v>
      </c>
      <c r="B67" s="10" t="s">
        <v>215</v>
      </c>
      <c r="C67" s="10" t="str">
        <f t="shared" si="2"/>
        <v>000.039, -000.006</v>
      </c>
      <c r="D67" s="11" t="s">
        <v>15</v>
      </c>
      <c r="E67" s="11" t="s">
        <v>16</v>
      </c>
      <c r="F67" s="12">
        <v>39.439970000000002</v>
      </c>
      <c r="G67" s="12">
        <v>-6.2724200000000003</v>
      </c>
      <c r="H67" s="10" t="s">
        <v>17</v>
      </c>
      <c r="I67" s="13" t="s">
        <v>216</v>
      </c>
      <c r="J67" s="10" t="s">
        <v>29</v>
      </c>
      <c r="K67" s="14">
        <v>47</v>
      </c>
      <c r="L67" s="14">
        <v>2031</v>
      </c>
      <c r="M67" s="15">
        <v>4880</v>
      </c>
      <c r="N67" s="23" t="s">
        <v>217</v>
      </c>
    </row>
    <row r="68" spans="1:14" x14ac:dyDescent="0.25">
      <c r="A68" s="9">
        <v>2</v>
      </c>
      <c r="B68" s="10" t="s">
        <v>218</v>
      </c>
      <c r="C68" s="10" t="str">
        <f t="shared" si="2"/>
        <v>000.040, -000.006</v>
      </c>
      <c r="D68" s="11" t="s">
        <v>15</v>
      </c>
      <c r="E68" s="11" t="s">
        <v>16</v>
      </c>
      <c r="F68" s="12">
        <v>39.896749999999997</v>
      </c>
      <c r="G68" s="12">
        <v>-6.4671200000000004</v>
      </c>
      <c r="H68" s="10" t="s">
        <v>17</v>
      </c>
      <c r="I68" s="13" t="s">
        <v>219</v>
      </c>
      <c r="J68" s="10" t="s">
        <v>19</v>
      </c>
      <c r="K68" s="14">
        <v>20</v>
      </c>
      <c r="L68" s="14">
        <v>1156</v>
      </c>
      <c r="M68" s="15">
        <v>2580</v>
      </c>
      <c r="N68" s="23" t="s">
        <v>220</v>
      </c>
    </row>
    <row r="69" spans="1:14" x14ac:dyDescent="0.25">
      <c r="A69" s="9">
        <v>2</v>
      </c>
      <c r="B69" s="10" t="s">
        <v>221</v>
      </c>
      <c r="C69" s="10" t="str">
        <f t="shared" si="2"/>
        <v>000.039, -000.006</v>
      </c>
      <c r="D69" s="11" t="s">
        <v>15</v>
      </c>
      <c r="E69" s="11" t="s">
        <v>16</v>
      </c>
      <c r="F69" s="12">
        <v>39.345649999999999</v>
      </c>
      <c r="G69" s="12">
        <v>-6.1733500000000001</v>
      </c>
      <c r="H69" s="10" t="s">
        <v>17</v>
      </c>
      <c r="I69" s="13" t="s">
        <v>222</v>
      </c>
      <c r="J69" s="10" t="s">
        <v>19</v>
      </c>
      <c r="K69" s="14">
        <v>17</v>
      </c>
      <c r="L69" s="14">
        <v>867</v>
      </c>
      <c r="M69" s="15">
        <v>1275</v>
      </c>
      <c r="N69" s="23" t="s">
        <v>223</v>
      </c>
    </row>
    <row r="70" spans="1:14" x14ac:dyDescent="0.25">
      <c r="A70" s="9">
        <v>2</v>
      </c>
      <c r="B70" s="10" t="s">
        <v>224</v>
      </c>
      <c r="C70" s="10" t="str">
        <f t="shared" si="2"/>
        <v>000.039, -000.006</v>
      </c>
      <c r="D70" s="11" t="s">
        <v>15</v>
      </c>
      <c r="E70" s="11" t="s">
        <v>16</v>
      </c>
      <c r="F70" s="12">
        <v>39.383099999999999</v>
      </c>
      <c r="G70" s="12">
        <v>-6.2494100000000001</v>
      </c>
      <c r="H70" s="10" t="s">
        <v>17</v>
      </c>
      <c r="I70" s="13" t="s">
        <v>225</v>
      </c>
      <c r="J70" s="10" t="s">
        <v>19</v>
      </c>
      <c r="K70" s="14">
        <v>17</v>
      </c>
      <c r="L70" s="14">
        <v>1332</v>
      </c>
      <c r="M70" s="15">
        <v>2465</v>
      </c>
      <c r="N70" s="23" t="s">
        <v>226</v>
      </c>
    </row>
    <row r="71" spans="1:14" x14ac:dyDescent="0.25">
      <c r="A71" s="9">
        <v>2</v>
      </c>
      <c r="B71" s="10" t="s">
        <v>227</v>
      </c>
      <c r="C71" s="10" t="str">
        <f t="shared" si="2"/>
        <v>000.039, -000.006</v>
      </c>
      <c r="D71" s="11" t="s">
        <v>15</v>
      </c>
      <c r="E71" s="11" t="s">
        <v>16</v>
      </c>
      <c r="F71" s="12">
        <v>39.366639999999997</v>
      </c>
      <c r="G71" s="12">
        <v>-6.2205199999999996</v>
      </c>
      <c r="H71" s="10" t="s">
        <v>17</v>
      </c>
      <c r="I71" s="13" t="s">
        <v>228</v>
      </c>
      <c r="J71" s="10" t="s">
        <v>19</v>
      </c>
      <c r="K71" s="14">
        <v>6</v>
      </c>
      <c r="L71" s="14">
        <v>650</v>
      </c>
      <c r="M71" s="15">
        <v>900</v>
      </c>
      <c r="N71" s="23" t="s">
        <v>229</v>
      </c>
    </row>
    <row r="72" spans="1:14" x14ac:dyDescent="0.25">
      <c r="A72" s="9">
        <v>2</v>
      </c>
      <c r="B72" s="10" t="s">
        <v>230</v>
      </c>
      <c r="C72" s="10" t="str">
        <f t="shared" si="2"/>
        <v>000.040, -000.007</v>
      </c>
      <c r="D72" s="11" t="s">
        <v>15</v>
      </c>
      <c r="E72" s="11" t="s">
        <v>16</v>
      </c>
      <c r="F72" s="12">
        <v>39.659550000000003</v>
      </c>
      <c r="G72" s="12">
        <v>-6.8212200000000003</v>
      </c>
      <c r="H72" s="10" t="s">
        <v>17</v>
      </c>
      <c r="I72" s="13" t="s">
        <v>231</v>
      </c>
      <c r="J72" s="10" t="s">
        <v>51</v>
      </c>
      <c r="K72" s="14">
        <v>3</v>
      </c>
      <c r="L72" s="14">
        <v>181</v>
      </c>
      <c r="M72" s="15">
        <v>250</v>
      </c>
      <c r="N72" s="23" t="s">
        <v>232</v>
      </c>
    </row>
    <row r="73" spans="1:14" x14ac:dyDescent="0.25">
      <c r="A73" s="9">
        <v>2</v>
      </c>
      <c r="B73" s="10" t="s">
        <v>233</v>
      </c>
      <c r="C73" s="10" t="str">
        <f t="shared" si="2"/>
        <v>000.040, -000.007</v>
      </c>
      <c r="D73" s="11" t="s">
        <v>15</v>
      </c>
      <c r="E73" s="11" t="s">
        <v>16</v>
      </c>
      <c r="F73" s="12">
        <v>39.876919999999998</v>
      </c>
      <c r="G73" s="12">
        <v>-6.8621100000000004</v>
      </c>
      <c r="H73" s="10" t="s">
        <v>17</v>
      </c>
      <c r="I73" s="13" t="s">
        <v>234</v>
      </c>
      <c r="J73" s="10" t="s">
        <v>19</v>
      </c>
      <c r="K73" s="14">
        <v>16</v>
      </c>
      <c r="L73" s="14">
        <v>1271</v>
      </c>
      <c r="M73" s="15">
        <v>1965</v>
      </c>
      <c r="N73" s="23" t="s">
        <v>235</v>
      </c>
    </row>
    <row r="74" spans="1:14" x14ac:dyDescent="0.25">
      <c r="A74" s="2">
        <v>3</v>
      </c>
      <c r="B74" s="3" t="s">
        <v>236</v>
      </c>
      <c r="C74" s="3" t="str">
        <f t="shared" si="2"/>
        <v>000.038, -000.007</v>
      </c>
      <c r="D74" s="4" t="s">
        <v>15</v>
      </c>
      <c r="E74" s="4" t="s">
        <v>16</v>
      </c>
      <c r="F74" s="5">
        <v>38.366370000000003</v>
      </c>
      <c r="G74" s="5">
        <v>-6.7885999999999997</v>
      </c>
      <c r="H74" s="3" t="s">
        <v>237</v>
      </c>
      <c r="I74" s="6" t="s">
        <v>238</v>
      </c>
      <c r="J74" s="3" t="s">
        <v>19</v>
      </c>
      <c r="K74" s="7">
        <v>10</v>
      </c>
      <c r="L74" s="7">
        <v>733</v>
      </c>
      <c r="M74" s="8">
        <v>1685</v>
      </c>
      <c r="N74" s="22" t="s">
        <v>239</v>
      </c>
    </row>
    <row r="75" spans="1:14" x14ac:dyDescent="0.25">
      <c r="A75" s="16"/>
      <c r="B75" s="17" t="s">
        <v>240</v>
      </c>
      <c r="C75" s="16"/>
      <c r="D75" s="16"/>
      <c r="E75" s="16"/>
      <c r="F75" s="16"/>
      <c r="G75" s="16"/>
      <c r="H75" s="16"/>
      <c r="I75" s="16"/>
      <c r="J75" s="16"/>
      <c r="K75" s="18">
        <f>SUM(K2:K74)</f>
        <v>1333</v>
      </c>
      <c r="L75" s="18">
        <f>SUM(L2:L74)</f>
        <v>66565</v>
      </c>
      <c r="M75" s="19">
        <f>SUM(M2:M74)</f>
        <v>173395</v>
      </c>
      <c r="N75" s="16"/>
    </row>
  </sheetData>
  <autoFilter ref="A1:N74" xr:uid="{00000000-0009-0000-0000-000000000000}"/>
  <hyperlinks>
    <hyperlink ref="D2" r:id="rId1" xr:uid="{00000000-0004-0000-0000-000000000000}"/>
    <hyperlink ref="E2" r:id="rId2" xr:uid="{00000000-0004-0000-0000-000001000000}"/>
    <hyperlink ref="D3" r:id="rId3" xr:uid="{00000000-0004-0000-0000-000002000000}"/>
    <hyperlink ref="E3" r:id="rId4" xr:uid="{00000000-0004-0000-0000-000003000000}"/>
    <hyperlink ref="D4" r:id="rId5" xr:uid="{00000000-0004-0000-0000-000004000000}"/>
    <hyperlink ref="E4" r:id="rId6" xr:uid="{00000000-0004-0000-0000-000005000000}"/>
    <hyperlink ref="D5" r:id="rId7" xr:uid="{00000000-0004-0000-0000-000006000000}"/>
    <hyperlink ref="E5" r:id="rId8" xr:uid="{00000000-0004-0000-0000-000007000000}"/>
    <hyperlink ref="D6" r:id="rId9" xr:uid="{00000000-0004-0000-0000-000008000000}"/>
    <hyperlink ref="E6" r:id="rId10" xr:uid="{00000000-0004-0000-0000-000009000000}"/>
    <hyperlink ref="D7" r:id="rId11" xr:uid="{00000000-0004-0000-0000-00000A000000}"/>
    <hyperlink ref="E7" r:id="rId12" xr:uid="{00000000-0004-0000-0000-00000B000000}"/>
    <hyperlink ref="D8" r:id="rId13" xr:uid="{00000000-0004-0000-0000-00000C000000}"/>
    <hyperlink ref="E8" r:id="rId14" xr:uid="{00000000-0004-0000-0000-00000D000000}"/>
    <hyperlink ref="D9" r:id="rId15" xr:uid="{00000000-0004-0000-0000-00000E000000}"/>
    <hyperlink ref="E9" r:id="rId16" xr:uid="{00000000-0004-0000-0000-00000F000000}"/>
    <hyperlink ref="D10" r:id="rId17" xr:uid="{00000000-0004-0000-0000-000010000000}"/>
    <hyperlink ref="E10" r:id="rId18" xr:uid="{00000000-0004-0000-0000-000011000000}"/>
    <hyperlink ref="D11" r:id="rId19" xr:uid="{00000000-0004-0000-0000-000012000000}"/>
    <hyperlink ref="E11" r:id="rId20" xr:uid="{00000000-0004-0000-0000-000013000000}"/>
    <hyperlink ref="D12" r:id="rId21" xr:uid="{00000000-0004-0000-0000-000014000000}"/>
    <hyperlink ref="E12" r:id="rId22" xr:uid="{00000000-0004-0000-0000-000015000000}"/>
    <hyperlink ref="D13" r:id="rId23" xr:uid="{00000000-0004-0000-0000-000016000000}"/>
    <hyperlink ref="E13" r:id="rId24" xr:uid="{00000000-0004-0000-0000-000017000000}"/>
    <hyperlink ref="D14" r:id="rId25" xr:uid="{00000000-0004-0000-0000-000018000000}"/>
    <hyperlink ref="E14" r:id="rId26" xr:uid="{00000000-0004-0000-0000-000019000000}"/>
    <hyperlink ref="D15" r:id="rId27" xr:uid="{00000000-0004-0000-0000-00001A000000}"/>
    <hyperlink ref="E15" r:id="rId28" xr:uid="{00000000-0004-0000-0000-00001B000000}"/>
    <hyperlink ref="D16" r:id="rId29" xr:uid="{00000000-0004-0000-0000-00001C000000}"/>
    <hyperlink ref="E16" r:id="rId30" xr:uid="{00000000-0004-0000-0000-00001D000000}"/>
    <hyperlink ref="D17" r:id="rId31" xr:uid="{00000000-0004-0000-0000-00001E000000}"/>
    <hyperlink ref="E17" r:id="rId32" xr:uid="{00000000-0004-0000-0000-00001F000000}"/>
    <hyperlink ref="D18" r:id="rId33" xr:uid="{00000000-0004-0000-0000-000020000000}"/>
    <hyperlink ref="E18" r:id="rId34" xr:uid="{00000000-0004-0000-0000-000021000000}"/>
    <hyperlink ref="D19" r:id="rId35" xr:uid="{00000000-0004-0000-0000-000022000000}"/>
    <hyperlink ref="E19" r:id="rId36" xr:uid="{00000000-0004-0000-0000-000023000000}"/>
    <hyperlink ref="D20" r:id="rId37" xr:uid="{00000000-0004-0000-0000-000024000000}"/>
    <hyperlink ref="E20" r:id="rId38" xr:uid="{00000000-0004-0000-0000-000025000000}"/>
    <hyperlink ref="D21" r:id="rId39" xr:uid="{00000000-0004-0000-0000-000026000000}"/>
    <hyperlink ref="E21" r:id="rId40" xr:uid="{00000000-0004-0000-0000-000027000000}"/>
    <hyperlink ref="D22" r:id="rId41" xr:uid="{00000000-0004-0000-0000-000028000000}"/>
    <hyperlink ref="E22" r:id="rId42" xr:uid="{00000000-0004-0000-0000-000029000000}"/>
    <hyperlink ref="D23" r:id="rId43" xr:uid="{00000000-0004-0000-0000-00002A000000}"/>
    <hyperlink ref="E23" r:id="rId44" xr:uid="{00000000-0004-0000-0000-00002B000000}"/>
    <hyperlink ref="D24" r:id="rId45" xr:uid="{00000000-0004-0000-0000-00002C000000}"/>
    <hyperlink ref="E24" r:id="rId46" xr:uid="{00000000-0004-0000-0000-00002D000000}"/>
    <hyperlink ref="D25" r:id="rId47" xr:uid="{00000000-0004-0000-0000-00002E000000}"/>
    <hyperlink ref="E25" r:id="rId48" xr:uid="{00000000-0004-0000-0000-00002F000000}"/>
    <hyperlink ref="D26" r:id="rId49" xr:uid="{00000000-0004-0000-0000-000030000000}"/>
    <hyperlink ref="E26" r:id="rId50" xr:uid="{00000000-0004-0000-0000-000031000000}"/>
    <hyperlink ref="D27" r:id="rId51" xr:uid="{00000000-0004-0000-0000-000032000000}"/>
    <hyperlink ref="E27" r:id="rId52" xr:uid="{00000000-0004-0000-0000-000033000000}"/>
    <hyperlink ref="D28" r:id="rId53" xr:uid="{00000000-0004-0000-0000-000034000000}"/>
    <hyperlink ref="E28" r:id="rId54" xr:uid="{00000000-0004-0000-0000-000035000000}"/>
    <hyperlink ref="D29" r:id="rId55" xr:uid="{00000000-0004-0000-0000-000036000000}"/>
    <hyperlink ref="E29" r:id="rId56" xr:uid="{00000000-0004-0000-0000-000037000000}"/>
    <hyperlink ref="D30" r:id="rId57" xr:uid="{00000000-0004-0000-0000-000038000000}"/>
    <hyperlink ref="E30" r:id="rId58" xr:uid="{00000000-0004-0000-0000-000039000000}"/>
    <hyperlink ref="D31" r:id="rId59" xr:uid="{00000000-0004-0000-0000-00003A000000}"/>
    <hyperlink ref="E31" r:id="rId60" xr:uid="{00000000-0004-0000-0000-00003B000000}"/>
    <hyperlink ref="D32" r:id="rId61" xr:uid="{00000000-0004-0000-0000-00003C000000}"/>
    <hyperlink ref="E32" r:id="rId62" xr:uid="{00000000-0004-0000-0000-00003D000000}"/>
    <hyperlink ref="D33" r:id="rId63" xr:uid="{00000000-0004-0000-0000-00003E000000}"/>
    <hyperlink ref="E33" r:id="rId64" xr:uid="{00000000-0004-0000-0000-00003F000000}"/>
    <hyperlink ref="D34" r:id="rId65" xr:uid="{00000000-0004-0000-0000-000040000000}"/>
    <hyperlink ref="E34" r:id="rId66" xr:uid="{00000000-0004-0000-0000-000041000000}"/>
    <hyperlink ref="D35" r:id="rId67" xr:uid="{00000000-0004-0000-0000-000042000000}"/>
    <hyperlink ref="E35" r:id="rId68" xr:uid="{00000000-0004-0000-0000-000043000000}"/>
    <hyperlink ref="D36" r:id="rId69" xr:uid="{00000000-0004-0000-0000-000044000000}"/>
    <hyperlink ref="E36" r:id="rId70" xr:uid="{00000000-0004-0000-0000-000045000000}"/>
    <hyperlink ref="D37" r:id="rId71" xr:uid="{00000000-0004-0000-0000-000046000000}"/>
    <hyperlink ref="E37" r:id="rId72" xr:uid="{00000000-0004-0000-0000-000047000000}"/>
    <hyperlink ref="D38" r:id="rId73" xr:uid="{00000000-0004-0000-0000-000048000000}"/>
    <hyperlink ref="E38" r:id="rId74" xr:uid="{00000000-0004-0000-0000-000049000000}"/>
    <hyperlink ref="D39" r:id="rId75" xr:uid="{00000000-0004-0000-0000-00004A000000}"/>
    <hyperlink ref="E39" r:id="rId76" xr:uid="{00000000-0004-0000-0000-00004B000000}"/>
    <hyperlink ref="D40" r:id="rId77" xr:uid="{00000000-0004-0000-0000-00004C000000}"/>
    <hyperlink ref="E40" r:id="rId78" xr:uid="{00000000-0004-0000-0000-00004D000000}"/>
    <hyperlink ref="D41" r:id="rId79" xr:uid="{00000000-0004-0000-0000-00004E000000}"/>
    <hyperlink ref="E41" r:id="rId80" xr:uid="{00000000-0004-0000-0000-00004F000000}"/>
    <hyperlink ref="D42" r:id="rId81" xr:uid="{00000000-0004-0000-0000-000050000000}"/>
    <hyperlink ref="E42" r:id="rId82" xr:uid="{00000000-0004-0000-0000-000051000000}"/>
    <hyperlink ref="D43" r:id="rId83" xr:uid="{00000000-0004-0000-0000-000052000000}"/>
    <hyperlink ref="E43" r:id="rId84" xr:uid="{00000000-0004-0000-0000-000053000000}"/>
    <hyperlink ref="D44" r:id="rId85" xr:uid="{00000000-0004-0000-0000-000054000000}"/>
    <hyperlink ref="E44" r:id="rId86" xr:uid="{00000000-0004-0000-0000-000055000000}"/>
    <hyperlink ref="D45" r:id="rId87" xr:uid="{00000000-0004-0000-0000-000056000000}"/>
    <hyperlink ref="E45" r:id="rId88" xr:uid="{00000000-0004-0000-0000-000057000000}"/>
    <hyperlink ref="D46" r:id="rId89" xr:uid="{00000000-0004-0000-0000-000058000000}"/>
    <hyperlink ref="E46" r:id="rId90" xr:uid="{00000000-0004-0000-0000-000059000000}"/>
    <hyperlink ref="D47" r:id="rId91" xr:uid="{00000000-0004-0000-0000-00005A000000}"/>
    <hyperlink ref="E47" r:id="rId92" xr:uid="{00000000-0004-0000-0000-00005B000000}"/>
    <hyperlink ref="D48" r:id="rId93" xr:uid="{00000000-0004-0000-0000-00005C000000}"/>
    <hyperlink ref="E48" r:id="rId94" xr:uid="{00000000-0004-0000-0000-00005D000000}"/>
    <hyperlink ref="D49" r:id="rId95" xr:uid="{00000000-0004-0000-0000-00005E000000}"/>
    <hyperlink ref="E49" r:id="rId96" xr:uid="{00000000-0004-0000-0000-00005F000000}"/>
    <hyperlink ref="D50" r:id="rId97" xr:uid="{00000000-0004-0000-0000-000060000000}"/>
    <hyperlink ref="E50" r:id="rId98" xr:uid="{00000000-0004-0000-0000-000061000000}"/>
    <hyperlink ref="D51" r:id="rId99" xr:uid="{00000000-0004-0000-0000-000062000000}"/>
    <hyperlink ref="E51" r:id="rId100" xr:uid="{00000000-0004-0000-0000-000063000000}"/>
    <hyperlink ref="D52" r:id="rId101" xr:uid="{00000000-0004-0000-0000-000064000000}"/>
    <hyperlink ref="E52" r:id="rId102" xr:uid="{00000000-0004-0000-0000-000065000000}"/>
    <hyperlink ref="D53" r:id="rId103" xr:uid="{00000000-0004-0000-0000-000066000000}"/>
    <hyperlink ref="E53" r:id="rId104" xr:uid="{00000000-0004-0000-0000-000067000000}"/>
    <hyperlink ref="D54" r:id="rId105" xr:uid="{00000000-0004-0000-0000-000068000000}"/>
    <hyperlink ref="E54" r:id="rId106" xr:uid="{00000000-0004-0000-0000-000069000000}"/>
    <hyperlink ref="D55" r:id="rId107" xr:uid="{00000000-0004-0000-0000-00006A000000}"/>
    <hyperlink ref="E55" r:id="rId108" xr:uid="{00000000-0004-0000-0000-00006B000000}"/>
    <hyperlink ref="D56" r:id="rId109" xr:uid="{00000000-0004-0000-0000-00006C000000}"/>
    <hyperlink ref="E56" r:id="rId110" xr:uid="{00000000-0004-0000-0000-00006D000000}"/>
    <hyperlink ref="D57" r:id="rId111" xr:uid="{00000000-0004-0000-0000-00006E000000}"/>
    <hyperlink ref="E57" r:id="rId112" xr:uid="{00000000-0004-0000-0000-00006F000000}"/>
    <hyperlink ref="D58" r:id="rId113" xr:uid="{00000000-0004-0000-0000-000070000000}"/>
    <hyperlink ref="E58" r:id="rId114" xr:uid="{00000000-0004-0000-0000-000071000000}"/>
    <hyperlink ref="D59" r:id="rId115" xr:uid="{00000000-0004-0000-0000-000072000000}"/>
    <hyperlink ref="E59" r:id="rId116" xr:uid="{00000000-0004-0000-0000-000073000000}"/>
    <hyperlink ref="D60" r:id="rId117" xr:uid="{00000000-0004-0000-0000-000074000000}"/>
    <hyperlink ref="E60" r:id="rId118" xr:uid="{00000000-0004-0000-0000-000075000000}"/>
    <hyperlink ref="D61" r:id="rId119" xr:uid="{00000000-0004-0000-0000-000076000000}"/>
    <hyperlink ref="E61" r:id="rId120" xr:uid="{00000000-0004-0000-0000-000077000000}"/>
    <hyperlink ref="D62" r:id="rId121" xr:uid="{00000000-0004-0000-0000-000078000000}"/>
    <hyperlink ref="E62" r:id="rId122" xr:uid="{00000000-0004-0000-0000-000079000000}"/>
    <hyperlink ref="D63" r:id="rId123" xr:uid="{00000000-0004-0000-0000-00007A000000}"/>
    <hyperlink ref="E63" r:id="rId124" xr:uid="{00000000-0004-0000-0000-00007B000000}"/>
    <hyperlink ref="D64" r:id="rId125" xr:uid="{00000000-0004-0000-0000-00007C000000}"/>
    <hyperlink ref="E64" r:id="rId126" xr:uid="{00000000-0004-0000-0000-00007D000000}"/>
    <hyperlink ref="D65" r:id="rId127" xr:uid="{00000000-0004-0000-0000-00007E000000}"/>
    <hyperlink ref="E65" r:id="rId128" xr:uid="{00000000-0004-0000-0000-00007F000000}"/>
    <hyperlink ref="D66" r:id="rId129" xr:uid="{00000000-0004-0000-0000-000080000000}"/>
    <hyperlink ref="E66" r:id="rId130" xr:uid="{00000000-0004-0000-0000-000081000000}"/>
    <hyperlink ref="D67" r:id="rId131" xr:uid="{00000000-0004-0000-0000-000082000000}"/>
    <hyperlink ref="E67" r:id="rId132" xr:uid="{00000000-0004-0000-0000-000083000000}"/>
    <hyperlink ref="D68" r:id="rId133" xr:uid="{00000000-0004-0000-0000-000084000000}"/>
    <hyperlink ref="E68" r:id="rId134" xr:uid="{00000000-0004-0000-0000-000085000000}"/>
    <hyperlink ref="D69" r:id="rId135" xr:uid="{00000000-0004-0000-0000-000086000000}"/>
    <hyperlink ref="E69" r:id="rId136" xr:uid="{00000000-0004-0000-0000-000087000000}"/>
    <hyperlink ref="D70" r:id="rId137" xr:uid="{00000000-0004-0000-0000-000088000000}"/>
    <hyperlink ref="E70" r:id="rId138" xr:uid="{00000000-0004-0000-0000-000089000000}"/>
    <hyperlink ref="D71" r:id="rId139" xr:uid="{00000000-0004-0000-0000-00008A000000}"/>
    <hyperlink ref="E71" r:id="rId140" xr:uid="{00000000-0004-0000-0000-00008B000000}"/>
    <hyperlink ref="D72" r:id="rId141" xr:uid="{00000000-0004-0000-0000-00008C000000}"/>
    <hyperlink ref="E72" r:id="rId142" xr:uid="{00000000-0004-0000-0000-00008D000000}"/>
    <hyperlink ref="D73" r:id="rId143" xr:uid="{00000000-0004-0000-0000-00008E000000}"/>
    <hyperlink ref="E73" r:id="rId144" xr:uid="{00000000-0004-0000-0000-00008F000000}"/>
    <hyperlink ref="D74" r:id="rId145" xr:uid="{00000000-0004-0000-0000-000090000000}"/>
    <hyperlink ref="E74" r:id="rId146" xr:uid="{00000000-0004-0000-0000-000091000000}"/>
    <hyperlink ref="N2" r:id="rId147" xr:uid="{E24EA062-ACB5-4DBA-88AC-12C3B590F8FB}"/>
    <hyperlink ref="N3" r:id="rId148" xr:uid="{C9AB2940-9CB2-4451-954E-630054C23E5F}"/>
    <hyperlink ref="N4" r:id="rId149" xr:uid="{2D0B15E3-428C-415B-B1E7-5D71CE8235FC}"/>
    <hyperlink ref="N5" r:id="rId150" xr:uid="{0B9D372B-3CBF-4344-961D-78B894569986}"/>
    <hyperlink ref="N6" r:id="rId151" xr:uid="{18CDF222-1968-428B-B0B4-A3605F6AAB01}"/>
    <hyperlink ref="N7" r:id="rId152" xr:uid="{92C1F608-4A13-4072-9A3B-40BCDEF70D75}"/>
    <hyperlink ref="N8" r:id="rId153" xr:uid="{9BA81124-F7E4-4CB5-991A-550C88EC0D49}"/>
    <hyperlink ref="N9" r:id="rId154" xr:uid="{7C116F4D-3088-41BF-A2C7-44D807DB079D}"/>
    <hyperlink ref="N10" r:id="rId155" xr:uid="{C239B2BD-2CF3-4E8F-BD78-7B4B4F1308C4}"/>
    <hyperlink ref="N11" r:id="rId156" xr:uid="{0A2D3C4C-5DC5-416F-A28D-640C76F3A680}"/>
    <hyperlink ref="N12" r:id="rId157" xr:uid="{7A12D03E-6F78-4429-BD81-3BAA10436DC0}"/>
    <hyperlink ref="N13" r:id="rId158" xr:uid="{D75B345B-924E-4264-A66D-BB2A805D072E}"/>
    <hyperlink ref="N14" r:id="rId159" xr:uid="{02A8867A-D68A-496F-9471-C5B4C7ACCA8F}"/>
    <hyperlink ref="N15" r:id="rId160" xr:uid="{BB31AF5E-1BF8-4575-B2CC-10B28F271ED6}"/>
    <hyperlink ref="N16" r:id="rId161" xr:uid="{A8819FB1-B9C1-4097-BC62-8003282997EB}"/>
    <hyperlink ref="N17" r:id="rId162" xr:uid="{58827CCF-85BC-44BE-AFA9-885F0F0BFAB0}"/>
    <hyperlink ref="N18" r:id="rId163" xr:uid="{471B8060-7388-43B0-962D-D5E2F0D7B592}"/>
    <hyperlink ref="N19" r:id="rId164" xr:uid="{0C36F027-A95F-4490-90F9-266085CD5728}"/>
    <hyperlink ref="N20" r:id="rId165" xr:uid="{A8DC1DEE-F812-475F-B9BB-B9ADF8847C99}"/>
    <hyperlink ref="N21" r:id="rId166" xr:uid="{CAE87D2C-DBAD-4DBF-83C4-B580ED6AD771}"/>
    <hyperlink ref="N22" r:id="rId167" xr:uid="{8B01CFCF-D8FB-4A37-8CD9-A79276367403}"/>
    <hyperlink ref="N23" r:id="rId168" xr:uid="{9FF37828-1E0F-435C-8563-16BB28B1C781}"/>
    <hyperlink ref="N24" r:id="rId169" xr:uid="{8CFB7AB4-86CB-497C-A928-22DE6D3635A1}"/>
    <hyperlink ref="N25" r:id="rId170" xr:uid="{25BDB6E4-F191-4652-B45B-EB91E8841752}"/>
    <hyperlink ref="N26" r:id="rId171" xr:uid="{ADA421E1-4527-40DF-83CF-97E30F0BFF25}"/>
    <hyperlink ref="N27" r:id="rId172" xr:uid="{B2A2D904-4FE3-4A67-B5DE-03AC4E4250D0}"/>
    <hyperlink ref="N28" r:id="rId173" xr:uid="{B1E27DB0-60DE-4912-A6E9-0485F956A239}"/>
    <hyperlink ref="N29" r:id="rId174" xr:uid="{A341FBA1-AB5A-4E94-8DE0-C2980014758E}"/>
    <hyperlink ref="N30" r:id="rId175" xr:uid="{848AA9A4-D6EF-4444-809A-F683A6D320EC}"/>
    <hyperlink ref="N31" r:id="rId176" xr:uid="{F14D98DE-3446-4A3D-A525-D028F9F4B76A}"/>
    <hyperlink ref="N74" r:id="rId177" xr:uid="{834A6CDF-38DA-458C-9D10-9AA1A9B548EE}"/>
    <hyperlink ref="N73" r:id="rId178" xr:uid="{7D8C435D-AD7B-479D-920F-FBC3948C614B}"/>
    <hyperlink ref="N72" r:id="rId179" xr:uid="{8B4A708A-5D7C-4995-A818-3C84BE0D01ED}"/>
    <hyperlink ref="N71" r:id="rId180" xr:uid="{8219F67C-51AE-41D8-8C8E-D2988EF396BA}"/>
    <hyperlink ref="N70" r:id="rId181" xr:uid="{4930AB79-2B6F-43DB-8A26-AFCC33BB9012}"/>
    <hyperlink ref="N69" r:id="rId182" xr:uid="{D4CB3437-59C5-4463-A9B2-EA462242D6F3}"/>
    <hyperlink ref="N68" r:id="rId183" xr:uid="{72B62EBD-D625-46B1-BF42-D59812CCFB4C}"/>
    <hyperlink ref="N67" r:id="rId184" xr:uid="{99474399-777E-485B-9919-18A43241EC61}"/>
    <hyperlink ref="N66" r:id="rId185" xr:uid="{ADCC8D86-F325-4AF5-B7B0-EC32AB7C6866}"/>
    <hyperlink ref="N65" r:id="rId186" xr:uid="{62E6FB08-DE3A-456F-8CD1-4A7F86B273C5}"/>
    <hyperlink ref="N64" r:id="rId187" xr:uid="{B1374ABD-94DD-4376-82DE-9C133E24F411}"/>
    <hyperlink ref="N63" r:id="rId188" xr:uid="{DE781A50-A096-4F57-833B-07B58B1FCE03}"/>
    <hyperlink ref="N62" r:id="rId189" xr:uid="{C132643E-F7CE-413C-B045-70875270BEC8}"/>
    <hyperlink ref="N61" r:id="rId190" xr:uid="{C73CBF12-8C1C-4217-A8DC-791EB9CDE81E}"/>
    <hyperlink ref="N60" r:id="rId191" xr:uid="{943FC803-EAAE-480B-85BB-0EC79D5E49C3}"/>
    <hyperlink ref="N59" r:id="rId192" xr:uid="{887D37CF-D89B-4E63-BE0B-361B54C4A4ED}"/>
    <hyperlink ref="N58" r:id="rId193" xr:uid="{72EB808E-9CA8-46DE-B3D2-7AE836C079FD}"/>
    <hyperlink ref="N57" r:id="rId194" xr:uid="{F43030AA-6A53-4C7E-91E0-0F3E445CAF82}"/>
    <hyperlink ref="N56" r:id="rId195" xr:uid="{2B6A51F4-65FC-4757-ACEA-623EBA7459AA}"/>
    <hyperlink ref="N55" r:id="rId196" xr:uid="{E9FF2A23-8402-4AC6-AC1E-E7F1E6C4D382}"/>
    <hyperlink ref="N54" r:id="rId197" xr:uid="{F6812130-04D0-4BE0-9324-C92D8DA3B88D}"/>
    <hyperlink ref="N53" r:id="rId198" xr:uid="{C2C7366A-0ED3-4BB9-8B7A-8C3A8436557B}"/>
    <hyperlink ref="N52" r:id="rId199" xr:uid="{8FD25AEF-451A-4D44-A5B0-EDA2D43C3BE9}"/>
    <hyperlink ref="N51" r:id="rId200" xr:uid="{CE4A498A-7C30-4547-9A99-93CED93BEA6F}"/>
    <hyperlink ref="N50" r:id="rId201" xr:uid="{1D15791D-8937-484E-966E-9F6F0227799B}"/>
    <hyperlink ref="N49" r:id="rId202" xr:uid="{28E78885-EFAA-4B71-9E80-4BA0675CDA08}"/>
    <hyperlink ref="N48" r:id="rId203" xr:uid="{31919231-6D73-43A9-93DB-11013AFEFAE0}"/>
    <hyperlink ref="N47" r:id="rId204" xr:uid="{81BB0EE5-9053-46D1-9CD5-8D7027F13DD2}"/>
    <hyperlink ref="N46" r:id="rId205" xr:uid="{02469006-4220-441E-B4D6-4F4CF0429CB0}"/>
    <hyperlink ref="N44" r:id="rId206" xr:uid="{8ECBC328-0153-4228-9CB0-740AEE8DE80F}"/>
    <hyperlink ref="N43" r:id="rId207" xr:uid="{76CEF303-B1C7-4520-93D8-5D2BEC7E86C9}"/>
    <hyperlink ref="N42" r:id="rId208" xr:uid="{BFFF8593-34C9-445D-BC51-C53E82585562}"/>
    <hyperlink ref="N41" r:id="rId209" xr:uid="{54B7F132-EC20-4773-84AA-F124A0F55B81}"/>
    <hyperlink ref="N40" r:id="rId210" xr:uid="{2A8333F9-569F-46FA-8980-3C7F9EAA5B17}"/>
    <hyperlink ref="N45" r:id="rId211" xr:uid="{8DBE4040-92FF-49B9-8404-F259FE14820D}"/>
    <hyperlink ref="N39" r:id="rId212" xr:uid="{D137281A-075E-45FA-A31B-169438ECB645}"/>
    <hyperlink ref="N38" r:id="rId213" xr:uid="{94C5F369-96FC-45BE-A1EB-4D94D7101968}"/>
    <hyperlink ref="N37" r:id="rId214" xr:uid="{6F7AE74E-0A1C-4D68-9AD3-3E5ED70A4FE0}"/>
    <hyperlink ref="N36" r:id="rId215" xr:uid="{01138708-8EF3-4950-A7F4-9DC97921A458}"/>
    <hyperlink ref="N35" r:id="rId216" xr:uid="{749AEF8B-5430-4726-B90E-5A79A0F20959}"/>
    <hyperlink ref="N34" r:id="rId217" xr:uid="{0CE4A388-02CD-4BE2-9141-5EE6ED5560F1}"/>
    <hyperlink ref="N33" r:id="rId218" xr:uid="{6F05EEB5-4AA1-4DBA-A350-7419AB5DFFA2}"/>
    <hyperlink ref="N32" r:id="rId219" xr:uid="{21E81785-5DC7-4562-93D6-B741FA4E00CD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"/>
  <sheetViews>
    <sheetView zoomScaleNormal="100" workbookViewId="0"/>
  </sheetViews>
  <sheetFormatPr baseColWidth="10" defaultColWidth="8.7109375" defaultRowHeight="15" x14ac:dyDescent="0.25"/>
  <cols>
    <col min="1" max="1" width="105" customWidth="1"/>
    <col min="2" max="2" width="80" customWidth="1"/>
  </cols>
  <sheetData>
    <row r="1" spans="1:2" x14ac:dyDescent="0.25">
      <c r="A1" s="20" t="s">
        <v>241</v>
      </c>
    </row>
    <row r="2" spans="1:2" x14ac:dyDescent="0.25">
      <c r="A2" s="21" t="s">
        <v>242</v>
      </c>
    </row>
    <row r="3" spans="1:2" x14ac:dyDescent="0.25">
      <c r="A3" s="21"/>
    </row>
    <row r="4" spans="1:2" x14ac:dyDescent="0.25">
      <c r="A4" s="21" t="s">
        <v>243</v>
      </c>
      <c r="B4" s="21" t="s">
        <v>244</v>
      </c>
    </row>
    <row r="5" spans="1:2" x14ac:dyDescent="0.25">
      <c r="A5" s="21" t="s">
        <v>245</v>
      </c>
      <c r="B5" s="21" t="s">
        <v>246</v>
      </c>
    </row>
    <row r="6" spans="1:2" x14ac:dyDescent="0.25">
      <c r="A6" s="21" t="s">
        <v>247</v>
      </c>
      <c r="B6" s="21" t="s">
        <v>248</v>
      </c>
    </row>
    <row r="7" spans="1:2" x14ac:dyDescent="0.25">
      <c r="A7" s="21" t="s">
        <v>249</v>
      </c>
      <c r="B7" s="21">
        <f>COUNTA(Municipios!B2:B74)</f>
        <v>73</v>
      </c>
    </row>
    <row r="8" spans="1:2" x14ac:dyDescent="0.25">
      <c r="A8" s="21"/>
    </row>
    <row r="9" spans="1:2" x14ac:dyDescent="0.25">
      <c r="A9" s="20" t="s">
        <v>250</v>
      </c>
    </row>
    <row r="10" spans="1:2" x14ac:dyDescent="0.25">
      <c r="A10" s="21" t="s">
        <v>251</v>
      </c>
    </row>
    <row r="11" spans="1:2" x14ac:dyDescent="0.25">
      <c r="A11" s="21" t="s">
        <v>252</v>
      </c>
    </row>
    <row r="12" spans="1:2" x14ac:dyDescent="0.25">
      <c r="A12" s="21" t="s">
        <v>253</v>
      </c>
    </row>
    <row r="13" spans="1:2" x14ac:dyDescent="0.25">
      <c r="A13" s="21" t="s">
        <v>254</v>
      </c>
    </row>
    <row r="14" spans="1:2" x14ac:dyDescent="0.25">
      <c r="A14" s="21" t="s">
        <v>255</v>
      </c>
    </row>
    <row r="15" spans="1:2" x14ac:dyDescent="0.25">
      <c r="A15" s="21" t="s">
        <v>256</v>
      </c>
    </row>
    <row r="16" spans="1:2" x14ac:dyDescent="0.25">
      <c r="A16" s="21" t="s">
        <v>257</v>
      </c>
    </row>
    <row r="17" spans="1:1" x14ac:dyDescent="0.25">
      <c r="A17" s="21"/>
    </row>
    <row r="18" spans="1:1" x14ac:dyDescent="0.25">
      <c r="A18" s="20" t="s">
        <v>258</v>
      </c>
    </row>
    <row r="19" spans="1:1" x14ac:dyDescent="0.25">
      <c r="A19" s="21" t="s">
        <v>259</v>
      </c>
    </row>
    <row r="20" spans="1:1" x14ac:dyDescent="0.25">
      <c r="A20" s="21" t="s">
        <v>260</v>
      </c>
    </row>
    <row r="21" spans="1:1" x14ac:dyDescent="0.25">
      <c r="A21" s="21" t="s">
        <v>261</v>
      </c>
    </row>
    <row r="22" spans="1:1" x14ac:dyDescent="0.25">
      <c r="A22" s="21" t="s">
        <v>262</v>
      </c>
    </row>
    <row r="23" spans="1:1" x14ac:dyDescent="0.25">
      <c r="A23" s="21"/>
    </row>
    <row r="24" spans="1:1" x14ac:dyDescent="0.25">
      <c r="A24" s="20" t="s">
        <v>263</v>
      </c>
    </row>
    <row r="25" spans="1:1" x14ac:dyDescent="0.25">
      <c r="A25" s="21" t="s">
        <v>264</v>
      </c>
    </row>
    <row r="26" spans="1:1" x14ac:dyDescent="0.25">
      <c r="A26" s="21" t="s">
        <v>265</v>
      </c>
    </row>
    <row r="27" spans="1:1" x14ac:dyDescent="0.25">
      <c r="A27" s="21" t="s">
        <v>266</v>
      </c>
    </row>
    <row r="28" spans="1:1" x14ac:dyDescent="0.25">
      <c r="A28" s="21"/>
    </row>
    <row r="29" spans="1:1" x14ac:dyDescent="0.25">
      <c r="A29" s="20" t="s">
        <v>267</v>
      </c>
    </row>
    <row r="30" spans="1:1" x14ac:dyDescent="0.25">
      <c r="A30" s="21" t="s">
        <v>268</v>
      </c>
    </row>
    <row r="31" spans="1:1" x14ac:dyDescent="0.25">
      <c r="A31" s="21"/>
    </row>
    <row r="32" spans="1:1" x14ac:dyDescent="0.25">
      <c r="A32" s="20" t="s">
        <v>269</v>
      </c>
    </row>
    <row r="33" spans="1:1" x14ac:dyDescent="0.25">
      <c r="A33" s="21" t="s">
        <v>270</v>
      </c>
    </row>
    <row r="34" spans="1:1" x14ac:dyDescent="0.25">
      <c r="A34" s="21" t="s">
        <v>271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Municipios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Anton Shebarshinov Polenyaka</cp:lastModifiedBy>
  <cp:revision>0</cp:revision>
  <dcterms:created xsi:type="dcterms:W3CDTF">2026-08-25T09:41:02Z</dcterms:created>
  <dcterms:modified xsi:type="dcterms:W3CDTF">2026-08-25T10:02:30Z</dcterms:modified>
  <dc:language>en-US</dc:language>
</cp:coreProperties>
</file>